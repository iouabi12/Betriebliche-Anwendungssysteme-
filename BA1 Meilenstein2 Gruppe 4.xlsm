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tmp" ContentType="image/png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tables/table4.xml" ContentType="application/vnd.openxmlformats-officedocument.spreadsheetml.table+xml"/>
  <Override PartName="/xl/comments3.xml" ContentType="application/vnd.openxmlformats-officedocument.spreadsheetml.comments+xml"/>
  <Override PartName="/xl/tables/table5.xml" ContentType="application/vnd.openxmlformats-officedocument.spreadsheetml.table+xml"/>
  <Override PartName="/xl/comments4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5.xml" ContentType="application/vnd.openxmlformats-officedocument.spreadsheetml.comments+xml"/>
  <Override PartName="/xl/drawings/drawing1.xml" ContentType="application/vnd.openxmlformats-officedocument.drawing+xml"/>
  <Override PartName="/xl/tables/table8.xml" ContentType="application/vnd.openxmlformats-officedocument.spreadsheetml.table+xml"/>
  <Override PartName="/xl/comments6.xml" ContentType="application/vnd.openxmlformats-officedocument.spreadsheetml.comments+xml"/>
  <Override PartName="/xl/tables/table9.xml" ContentType="application/vnd.openxmlformats-officedocument.spreadsheetml.table+xml"/>
  <Override PartName="/xl/comments7.xml" ContentType="application/vnd.openxmlformats-officedocument.spreadsheetml.comments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comments8.xml" ContentType="application/vnd.openxmlformats-officedocument.spreadsheetml.comment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49163\Desktop\Studium\4.Semester\1.BA1\3. BA-Praktikum\BA-MS2\BA1 Meilenstein2 Team4\"/>
    </mc:Choice>
  </mc:AlternateContent>
  <xr:revisionPtr revIDLastSave="0" documentId="13_ncr:1_{C8156501-1CDE-460E-9305-7D49DA5C2A5B}" xr6:coauthVersionLast="47" xr6:coauthVersionMax="47" xr10:uidLastSave="{00000000-0000-0000-0000-000000000000}"/>
  <bookViews>
    <workbookView xWindow="12" yWindow="-13068" windowWidth="23256" windowHeight="12456" tabRatio="965" firstSheet="5" activeTab="6" xr2:uid="{00000000-000D-0000-FFFF-FFFF00000000}"/>
  </bookViews>
  <sheets>
    <sheet name="NRW-Feiertage 22 und 23" sheetId="9" r:id="rId1"/>
    <sheet name="Dim_Monat" sheetId="11" r:id="rId2"/>
    <sheet name="DIM_Wochentag" sheetId="18" r:id="rId3"/>
    <sheet name="DIM_Mitarbeiter" sheetId="2" r:id="rId4"/>
    <sheet name="DIM_Abteilung" sheetId="41" r:id="rId5"/>
    <sheet name="DIM_Abwesenheitsgrund" sheetId="45" r:id="rId6"/>
    <sheet name="ROHDATEN" sheetId="14" r:id="rId7"/>
    <sheet name="Arbeistage_tab" sheetId="43" r:id="rId8"/>
    <sheet name="PSFT" sheetId="5" r:id="rId9"/>
    <sheet name="TFT" sheetId="19" r:id="rId10"/>
    <sheet name="ASFT" sheetId="44" r:id="rId11"/>
    <sheet name="Tabellen" sheetId="46" r:id="rId12"/>
    <sheet name="Krankenstand_Wochentag" sheetId="52" r:id="rId13"/>
    <sheet name="Mitarbieter_Abwesenheitstage" sheetId="50" r:id="rId14"/>
    <sheet name="Krankenstand in Monaten" sheetId="24" r:id="rId15"/>
  </sheets>
  <definedNames>
    <definedName name="_xlnm._FilterDatabase" localSheetId="7" hidden="1">Arbeistage_tab!$A$1:$D$366</definedName>
    <definedName name="_xlnm._FilterDatabase" localSheetId="1" hidden="1">Dim_Monat!$A$1:$E$8</definedName>
    <definedName name="_xlnm._FilterDatabase" localSheetId="8" hidden="1">PSFT!$A$1:$G$771</definedName>
    <definedName name="Stunden_Tag">#REF!</definedName>
  </definedNames>
  <calcPr calcId="191028"/>
  <pivotCaches>
    <pivotCache cacheId="0" r:id="rId1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" i="44" l="1"/>
  <c r="C25" i="44"/>
  <c r="C26" i="44"/>
  <c r="C27" i="44"/>
  <c r="C28" i="44"/>
  <c r="C29" i="44"/>
  <c r="I29" i="44" s="1"/>
  <c r="C30" i="44"/>
  <c r="C31" i="44"/>
  <c r="I31" i="44" s="1"/>
  <c r="C32" i="44"/>
  <c r="C33" i="44"/>
  <c r="C34" i="44"/>
  <c r="C35" i="44"/>
  <c r="C36" i="44"/>
  <c r="C37" i="44"/>
  <c r="C38" i="44"/>
  <c r="C39" i="44"/>
  <c r="I39" i="44" s="1"/>
  <c r="C40" i="44"/>
  <c r="C41" i="44"/>
  <c r="C42" i="44"/>
  <c r="C43" i="44"/>
  <c r="C44" i="44"/>
  <c r="C45" i="44"/>
  <c r="C46" i="44"/>
  <c r="C47" i="44"/>
  <c r="I47" i="44" s="1"/>
  <c r="C48" i="44"/>
  <c r="C49" i="44"/>
  <c r="C50" i="44"/>
  <c r="C51" i="44"/>
  <c r="C52" i="44"/>
  <c r="C53" i="44"/>
  <c r="C54" i="44"/>
  <c r="C55" i="44"/>
  <c r="I55" i="44" s="1"/>
  <c r="C56" i="44"/>
  <c r="D24" i="44"/>
  <c r="D25" i="44"/>
  <c r="J25" i="44" s="1"/>
  <c r="D26" i="44"/>
  <c r="D27" i="44"/>
  <c r="D28" i="44"/>
  <c r="J28" i="44" s="1"/>
  <c r="D29" i="44"/>
  <c r="J29" i="44" s="1"/>
  <c r="D30" i="44"/>
  <c r="D31" i="44"/>
  <c r="D32" i="44"/>
  <c r="D33" i="44"/>
  <c r="J33" i="44" s="1"/>
  <c r="D34" i="44"/>
  <c r="D35" i="44"/>
  <c r="D36" i="44"/>
  <c r="J36" i="44" s="1"/>
  <c r="D37" i="44"/>
  <c r="J37" i="44" s="1"/>
  <c r="D38" i="44"/>
  <c r="D39" i="44"/>
  <c r="D40" i="44"/>
  <c r="D41" i="44"/>
  <c r="J41" i="44" s="1"/>
  <c r="D42" i="44"/>
  <c r="D43" i="44"/>
  <c r="D44" i="44"/>
  <c r="J44" i="44" s="1"/>
  <c r="D45" i="44"/>
  <c r="D46" i="44"/>
  <c r="D47" i="44"/>
  <c r="D48" i="44"/>
  <c r="D49" i="44"/>
  <c r="J49" i="44" s="1"/>
  <c r="D50" i="44"/>
  <c r="D51" i="44"/>
  <c r="I51" i="44" s="1"/>
  <c r="D52" i="44"/>
  <c r="J52" i="44" s="1"/>
  <c r="D53" i="44"/>
  <c r="D54" i="44"/>
  <c r="D55" i="44"/>
  <c r="D56" i="44"/>
  <c r="E24" i="44"/>
  <c r="F24" i="44" s="1"/>
  <c r="E25" i="44"/>
  <c r="F25" i="44" s="1"/>
  <c r="E26" i="44"/>
  <c r="F26" i="44" s="1"/>
  <c r="E27" i="44"/>
  <c r="F27" i="44" s="1"/>
  <c r="E28" i="44"/>
  <c r="F28" i="44" s="1"/>
  <c r="E29" i="44"/>
  <c r="F29" i="44" s="1"/>
  <c r="E30" i="44"/>
  <c r="E31" i="44"/>
  <c r="E32" i="44"/>
  <c r="F32" i="44" s="1"/>
  <c r="E33" i="44"/>
  <c r="F33" i="44" s="1"/>
  <c r="E34" i="44"/>
  <c r="F34" i="44" s="1"/>
  <c r="E35" i="44"/>
  <c r="F35" i="44" s="1"/>
  <c r="E36" i="44"/>
  <c r="F36" i="44" s="1"/>
  <c r="E37" i="44"/>
  <c r="F37" i="44" s="1"/>
  <c r="E38" i="44"/>
  <c r="E39" i="44"/>
  <c r="E40" i="44"/>
  <c r="F40" i="44" s="1"/>
  <c r="E41" i="44"/>
  <c r="F41" i="44" s="1"/>
  <c r="E42" i="44"/>
  <c r="F42" i="44" s="1"/>
  <c r="E43" i="44"/>
  <c r="F43" i="44" s="1"/>
  <c r="E44" i="44"/>
  <c r="F44" i="44" s="1"/>
  <c r="E45" i="44"/>
  <c r="F45" i="44" s="1"/>
  <c r="E46" i="44"/>
  <c r="E47" i="44"/>
  <c r="E48" i="44"/>
  <c r="F48" i="44" s="1"/>
  <c r="E49" i="44"/>
  <c r="F49" i="44" s="1"/>
  <c r="E50" i="44"/>
  <c r="F50" i="44" s="1"/>
  <c r="E51" i="44"/>
  <c r="F51" i="44" s="1"/>
  <c r="E52" i="44"/>
  <c r="F52" i="44" s="1"/>
  <c r="E53" i="44"/>
  <c r="F53" i="44" s="1"/>
  <c r="E54" i="44"/>
  <c r="E55" i="44"/>
  <c r="E56" i="44"/>
  <c r="F56" i="44" s="1"/>
  <c r="F30" i="44"/>
  <c r="F31" i="44"/>
  <c r="F38" i="44"/>
  <c r="F39" i="44"/>
  <c r="F46" i="44"/>
  <c r="F47" i="44"/>
  <c r="F54" i="44"/>
  <c r="F55" i="44"/>
  <c r="G24" i="44"/>
  <c r="G25" i="44"/>
  <c r="G26" i="44"/>
  <c r="G27" i="44"/>
  <c r="G28" i="44"/>
  <c r="G29" i="44"/>
  <c r="G30" i="44"/>
  <c r="G31" i="44"/>
  <c r="G32" i="44"/>
  <c r="G33" i="44"/>
  <c r="G34" i="44"/>
  <c r="G35" i="44"/>
  <c r="G36" i="44"/>
  <c r="G37" i="44"/>
  <c r="G38" i="44"/>
  <c r="G39" i="44"/>
  <c r="G40" i="44"/>
  <c r="G41" i="44"/>
  <c r="G42" i="44"/>
  <c r="G43" i="44"/>
  <c r="G44" i="44"/>
  <c r="G45" i="44"/>
  <c r="G46" i="44"/>
  <c r="G47" i="44"/>
  <c r="G48" i="44"/>
  <c r="G49" i="44"/>
  <c r="G50" i="44"/>
  <c r="G51" i="44"/>
  <c r="G52" i="44"/>
  <c r="G53" i="44"/>
  <c r="G54" i="44"/>
  <c r="G55" i="44"/>
  <c r="G56" i="44"/>
  <c r="I24" i="44"/>
  <c r="I25" i="44"/>
  <c r="K25" i="44" s="1"/>
  <c r="I26" i="44"/>
  <c r="K26" i="44" s="1"/>
  <c r="I27" i="44"/>
  <c r="I32" i="44"/>
  <c r="I34" i="44"/>
  <c r="I35" i="44"/>
  <c r="K35" i="44" s="1"/>
  <c r="I38" i="44"/>
  <c r="I40" i="44"/>
  <c r="K40" i="44" s="1"/>
  <c r="I42" i="44"/>
  <c r="I43" i="44"/>
  <c r="K43" i="44" s="1"/>
  <c r="I48" i="44"/>
  <c r="I50" i="44"/>
  <c r="I56" i="44"/>
  <c r="J24" i="44"/>
  <c r="J26" i="44"/>
  <c r="J27" i="44"/>
  <c r="K27" i="44" s="1"/>
  <c r="J32" i="44"/>
  <c r="J34" i="44"/>
  <c r="J35" i="44"/>
  <c r="J38" i="44"/>
  <c r="J40" i="44"/>
  <c r="J42" i="44"/>
  <c r="J43" i="44"/>
  <c r="J48" i="44"/>
  <c r="J50" i="44"/>
  <c r="J51" i="44"/>
  <c r="J56" i="44"/>
  <c r="C18" i="44"/>
  <c r="C19" i="44"/>
  <c r="J19" i="44" s="1"/>
  <c r="C20" i="44"/>
  <c r="C21" i="44"/>
  <c r="C22" i="44"/>
  <c r="C23" i="44"/>
  <c r="D18" i="44"/>
  <c r="D19" i="44"/>
  <c r="D20" i="44"/>
  <c r="D21" i="44"/>
  <c r="D22" i="44"/>
  <c r="J22" i="44" s="1"/>
  <c r="D23" i="44"/>
  <c r="J23" i="44" s="1"/>
  <c r="E18" i="44"/>
  <c r="F18" i="44" s="1"/>
  <c r="E19" i="44"/>
  <c r="F19" i="44" s="1"/>
  <c r="E20" i="44"/>
  <c r="F20" i="44" s="1"/>
  <c r="E21" i="44"/>
  <c r="F21" i="44" s="1"/>
  <c r="E22" i="44"/>
  <c r="F22" i="44" s="1"/>
  <c r="E23" i="44"/>
  <c r="F23" i="44" s="1"/>
  <c r="G18" i="44"/>
  <c r="G19" i="44"/>
  <c r="G20" i="44"/>
  <c r="G21" i="44"/>
  <c r="G22" i="44"/>
  <c r="G23" i="44"/>
  <c r="I53" i="44" l="1"/>
  <c r="I37" i="44"/>
  <c r="J20" i="44"/>
  <c r="I23" i="44"/>
  <c r="K23" i="44" s="1"/>
  <c r="K50" i="44"/>
  <c r="K42" i="44"/>
  <c r="I22" i="44"/>
  <c r="K22" i="44" s="1"/>
  <c r="K37" i="44"/>
  <c r="I18" i="44"/>
  <c r="K32" i="44"/>
  <c r="J53" i="44"/>
  <c r="K53" i="44" s="1"/>
  <c r="J45" i="44"/>
  <c r="K29" i="44"/>
  <c r="I54" i="44"/>
  <c r="I46" i="44"/>
  <c r="I30" i="44"/>
  <c r="K51" i="44"/>
  <c r="I49" i="44"/>
  <c r="K34" i="44"/>
  <c r="J18" i="44"/>
  <c r="I20" i="44"/>
  <c r="K20" i="44" s="1"/>
  <c r="J21" i="44"/>
  <c r="I19" i="44"/>
  <c r="K19" i="44" s="1"/>
  <c r="I33" i="44"/>
  <c r="K33" i="44" s="1"/>
  <c r="K56" i="44"/>
  <c r="I45" i="44"/>
  <c r="K24" i="44"/>
  <c r="I52" i="44"/>
  <c r="K52" i="44" s="1"/>
  <c r="I44" i="44"/>
  <c r="K44" i="44" s="1"/>
  <c r="I36" i="44"/>
  <c r="I28" i="44"/>
  <c r="K28" i="44" s="1"/>
  <c r="J46" i="44"/>
  <c r="K46" i="44" s="1"/>
  <c r="I21" i="44"/>
  <c r="J54" i="44"/>
  <c r="J47" i="44"/>
  <c r="K48" i="44"/>
  <c r="K38" i="44"/>
  <c r="J31" i="44"/>
  <c r="K31" i="44" s="1"/>
  <c r="J30" i="44"/>
  <c r="I41" i="44"/>
  <c r="K41" i="44" s="1"/>
  <c r="K47" i="44"/>
  <c r="J55" i="44"/>
  <c r="K55" i="44" s="1"/>
  <c r="J39" i="44"/>
  <c r="K39" i="44" s="1"/>
  <c r="K36" i="44"/>
  <c r="K49" i="44"/>
  <c r="C17" i="44"/>
  <c r="D17" i="44"/>
  <c r="E17" i="44"/>
  <c r="F17" i="44" s="1"/>
  <c r="G17" i="44"/>
  <c r="D88" i="5"/>
  <c r="F88" i="5" a="1"/>
  <c r="F88" i="5" s="1"/>
  <c r="D110" i="5"/>
  <c r="F110" i="5" a="1"/>
  <c r="F110" i="5" s="1"/>
  <c r="D132" i="5"/>
  <c r="F132" i="5" a="1"/>
  <c r="F132" i="5" s="1"/>
  <c r="D154" i="5"/>
  <c r="F154" i="5" a="1"/>
  <c r="F154" i="5" s="1"/>
  <c r="D220" i="5"/>
  <c r="F220" i="5" a="1"/>
  <c r="F220" i="5" s="1"/>
  <c r="D242" i="5"/>
  <c r="F242" i="5" a="1"/>
  <c r="F242" i="5" s="1"/>
  <c r="D264" i="5"/>
  <c r="F264" i="5" a="1"/>
  <c r="F264" i="5" s="1"/>
  <c r="D286" i="5"/>
  <c r="F286" i="5" a="1"/>
  <c r="F286" i="5" s="1"/>
  <c r="D352" i="5"/>
  <c r="F352" i="5" a="1"/>
  <c r="F352" i="5" s="1"/>
  <c r="D374" i="5"/>
  <c r="F374" i="5" a="1"/>
  <c r="F374" i="5" s="1"/>
  <c r="D396" i="5"/>
  <c r="F396" i="5" a="1"/>
  <c r="F396" i="5" s="1"/>
  <c r="D418" i="5"/>
  <c r="F418" i="5" a="1"/>
  <c r="F418" i="5" s="1"/>
  <c r="D484" i="5"/>
  <c r="F484" i="5" a="1"/>
  <c r="F484" i="5" s="1"/>
  <c r="D506" i="5"/>
  <c r="F506" i="5" a="1"/>
  <c r="F506" i="5" s="1"/>
  <c r="D528" i="5"/>
  <c r="F528" i="5" a="1"/>
  <c r="F528" i="5" s="1"/>
  <c r="D550" i="5"/>
  <c r="F550" i="5" a="1"/>
  <c r="F550" i="5" s="1"/>
  <c r="D616" i="5"/>
  <c r="F616" i="5" a="1"/>
  <c r="F616" i="5" s="1"/>
  <c r="D638" i="5"/>
  <c r="F638" i="5" a="1"/>
  <c r="F638" i="5" s="1"/>
  <c r="D660" i="5"/>
  <c r="F660" i="5" a="1"/>
  <c r="F660" i="5" s="1"/>
  <c r="D682" i="5"/>
  <c r="F682" i="5" a="1"/>
  <c r="F682" i="5" s="1"/>
  <c r="D748" i="5"/>
  <c r="F748" i="5" a="1"/>
  <c r="F748" i="5" s="1"/>
  <c r="D770" i="5"/>
  <c r="F770" i="5" a="1"/>
  <c r="F770" i="5" s="1"/>
  <c r="D683" i="5"/>
  <c r="F683" i="5" a="1"/>
  <c r="F683" i="5" s="1"/>
  <c r="D26" i="5"/>
  <c r="F26" i="5" a="1"/>
  <c r="F26" i="5" s="1"/>
  <c r="D92" i="5"/>
  <c r="F92" i="5" a="1"/>
  <c r="F92" i="5" s="1"/>
  <c r="D4" i="5"/>
  <c r="F4" i="5" a="1"/>
  <c r="F4" i="5" s="1"/>
  <c r="D27" i="5"/>
  <c r="F27" i="5" a="1"/>
  <c r="F27" i="5" s="1"/>
  <c r="D158" i="5"/>
  <c r="F158" i="5" a="1"/>
  <c r="F158" i="5" s="1"/>
  <c r="D114" i="5"/>
  <c r="F114" i="5" a="1"/>
  <c r="F114" i="5" s="1"/>
  <c r="D136" i="5"/>
  <c r="F136" i="5" a="1"/>
  <c r="F136" i="5" s="1"/>
  <c r="D159" i="5"/>
  <c r="F159" i="5" a="1"/>
  <c r="F159" i="5" s="1"/>
  <c r="D290" i="5"/>
  <c r="F290" i="5" a="1"/>
  <c r="F290" i="5" s="1"/>
  <c r="D246" i="5"/>
  <c r="F246" i="5" a="1"/>
  <c r="F246" i="5" s="1"/>
  <c r="D268" i="5"/>
  <c r="F268" i="5" a="1"/>
  <c r="F268" i="5" s="1"/>
  <c r="D291" i="5"/>
  <c r="F291" i="5" a="1"/>
  <c r="F291" i="5" s="1"/>
  <c r="D422" i="5"/>
  <c r="F422" i="5" a="1"/>
  <c r="F422" i="5" s="1"/>
  <c r="D378" i="5"/>
  <c r="F378" i="5" a="1"/>
  <c r="F378" i="5" s="1"/>
  <c r="D400" i="5"/>
  <c r="F400" i="5" a="1"/>
  <c r="F400" i="5" s="1"/>
  <c r="D423" i="5"/>
  <c r="F423" i="5" a="1"/>
  <c r="F423" i="5" s="1"/>
  <c r="D444" i="5"/>
  <c r="F444" i="5" a="1"/>
  <c r="F444" i="5" s="1"/>
  <c r="D510" i="5"/>
  <c r="F510" i="5" a="1"/>
  <c r="F510" i="5" s="1"/>
  <c r="D532" i="5"/>
  <c r="F532" i="5" a="1"/>
  <c r="F532" i="5" s="1"/>
  <c r="D554" i="5"/>
  <c r="F554" i="5" a="1"/>
  <c r="F554" i="5" s="1"/>
  <c r="D576" i="5"/>
  <c r="F576" i="5" a="1"/>
  <c r="F576" i="5" s="1"/>
  <c r="D642" i="5"/>
  <c r="F642" i="5" a="1"/>
  <c r="F642" i="5" s="1"/>
  <c r="D664" i="5"/>
  <c r="F664" i="5" a="1"/>
  <c r="F664" i="5" s="1"/>
  <c r="D686" i="5"/>
  <c r="F686" i="5" a="1"/>
  <c r="F686" i="5" s="1"/>
  <c r="D708" i="5"/>
  <c r="F708" i="5" a="1"/>
  <c r="F708" i="5" s="1"/>
  <c r="D20" i="5"/>
  <c r="F20" i="5" a="1"/>
  <c r="F20" i="5" s="1"/>
  <c r="D42" i="5"/>
  <c r="F42" i="5" a="1"/>
  <c r="F42" i="5" s="1"/>
  <c r="D64" i="5"/>
  <c r="F64" i="5" a="1"/>
  <c r="F64" i="5" s="1"/>
  <c r="D86" i="5"/>
  <c r="F86" i="5" a="1"/>
  <c r="F86" i="5" s="1"/>
  <c r="D152" i="5"/>
  <c r="F152" i="5" a="1"/>
  <c r="F152" i="5" s="1"/>
  <c r="D174" i="5"/>
  <c r="F174" i="5" a="1"/>
  <c r="F174" i="5" s="1"/>
  <c r="D196" i="5"/>
  <c r="F196" i="5" a="1"/>
  <c r="F196" i="5" s="1"/>
  <c r="D218" i="5"/>
  <c r="F218" i="5" a="1"/>
  <c r="F218" i="5" s="1"/>
  <c r="D284" i="5"/>
  <c r="F284" i="5" a="1"/>
  <c r="F284" i="5" s="1"/>
  <c r="D306" i="5"/>
  <c r="F306" i="5" a="1"/>
  <c r="F306" i="5" s="1"/>
  <c r="D328" i="5"/>
  <c r="F328" i="5" a="1"/>
  <c r="F328" i="5" s="1"/>
  <c r="D350" i="5"/>
  <c r="F350" i="5" a="1"/>
  <c r="F350" i="5" s="1"/>
  <c r="D416" i="5"/>
  <c r="F416" i="5" a="1"/>
  <c r="F416" i="5" s="1"/>
  <c r="D438" i="5"/>
  <c r="F438" i="5" a="1"/>
  <c r="F438" i="5" s="1"/>
  <c r="D351" i="5"/>
  <c r="F351" i="5" a="1"/>
  <c r="F351" i="5" s="1"/>
  <c r="D482" i="5"/>
  <c r="F482" i="5" a="1"/>
  <c r="F482" i="5" s="1"/>
  <c r="D548" i="5"/>
  <c r="F548" i="5" a="1"/>
  <c r="F548" i="5" s="1"/>
  <c r="D460" i="5"/>
  <c r="F460" i="5" a="1"/>
  <c r="F460" i="5" s="1"/>
  <c r="D483" i="5"/>
  <c r="F483" i="5" a="1"/>
  <c r="F483" i="5" s="1"/>
  <c r="D614" i="5"/>
  <c r="F614" i="5" a="1"/>
  <c r="F614" i="5" s="1"/>
  <c r="D570" i="5"/>
  <c r="F570" i="5" a="1"/>
  <c r="F570" i="5" s="1"/>
  <c r="D592" i="5"/>
  <c r="F592" i="5" a="1"/>
  <c r="F592" i="5" s="1"/>
  <c r="D615" i="5"/>
  <c r="F615" i="5" a="1"/>
  <c r="F615" i="5" s="1"/>
  <c r="D746" i="5"/>
  <c r="F746" i="5" a="1"/>
  <c r="F746" i="5" s="1"/>
  <c r="D702" i="5"/>
  <c r="F702" i="5" a="1"/>
  <c r="F702" i="5" s="1"/>
  <c r="D724" i="5"/>
  <c r="F724" i="5" a="1"/>
  <c r="F724" i="5" s="1"/>
  <c r="D747" i="5"/>
  <c r="F747" i="5" a="1"/>
  <c r="F747" i="5" s="1"/>
  <c r="D94" i="5"/>
  <c r="F94" i="5" a="1"/>
  <c r="F94" i="5" s="1"/>
  <c r="D50" i="5"/>
  <c r="F50" i="5" a="1"/>
  <c r="F50" i="5" s="1"/>
  <c r="D72" i="5"/>
  <c r="F72" i="5" a="1"/>
  <c r="F72" i="5" s="1"/>
  <c r="D95" i="5"/>
  <c r="F95" i="5" a="1"/>
  <c r="F95" i="5" s="1"/>
  <c r="D116" i="5"/>
  <c r="F116" i="5" a="1"/>
  <c r="F116" i="5" s="1"/>
  <c r="D182" i="5"/>
  <c r="F182" i="5" a="1"/>
  <c r="F182" i="5" s="1"/>
  <c r="D204" i="5"/>
  <c r="F204" i="5" a="1"/>
  <c r="F204" i="5" s="1"/>
  <c r="D226" i="5"/>
  <c r="F226" i="5" a="1"/>
  <c r="F226" i="5" s="1"/>
  <c r="D248" i="5"/>
  <c r="F248" i="5" a="1"/>
  <c r="F248" i="5" s="1"/>
  <c r="D314" i="5"/>
  <c r="F314" i="5" a="1"/>
  <c r="F314" i="5" s="1"/>
  <c r="D336" i="5"/>
  <c r="F336" i="5" a="1"/>
  <c r="F336" i="5" s="1"/>
  <c r="D358" i="5"/>
  <c r="F358" i="5" a="1"/>
  <c r="F358" i="5" s="1"/>
  <c r="D380" i="5"/>
  <c r="F380" i="5" a="1"/>
  <c r="F380" i="5" s="1"/>
  <c r="D446" i="5"/>
  <c r="F446" i="5" a="1"/>
  <c r="F446" i="5" s="1"/>
  <c r="D468" i="5"/>
  <c r="F468" i="5" a="1"/>
  <c r="F468" i="5" s="1"/>
  <c r="D490" i="5"/>
  <c r="F490" i="5" a="1"/>
  <c r="F490" i="5" s="1"/>
  <c r="D512" i="5"/>
  <c r="F512" i="5" a="1"/>
  <c r="F512" i="5" s="1"/>
  <c r="D578" i="5"/>
  <c r="F578" i="5" a="1"/>
  <c r="F578" i="5" s="1"/>
  <c r="D600" i="5"/>
  <c r="F600" i="5" a="1"/>
  <c r="F600" i="5" s="1"/>
  <c r="D622" i="5"/>
  <c r="F622" i="5" a="1"/>
  <c r="F622" i="5" s="1"/>
  <c r="D644" i="5"/>
  <c r="F644" i="5" a="1"/>
  <c r="F644" i="5" s="1"/>
  <c r="D710" i="5"/>
  <c r="F710" i="5" a="1"/>
  <c r="F710" i="5" s="1"/>
  <c r="D732" i="5"/>
  <c r="F732" i="5" a="1"/>
  <c r="F732" i="5" s="1"/>
  <c r="D754" i="5"/>
  <c r="F754" i="5" a="1"/>
  <c r="F754" i="5" s="1"/>
  <c r="D14" i="5"/>
  <c r="F14" i="5" a="1"/>
  <c r="F14" i="5" s="1"/>
  <c r="D80" i="5"/>
  <c r="F80" i="5" a="1"/>
  <c r="F80" i="5" s="1"/>
  <c r="D102" i="5"/>
  <c r="F102" i="5" a="1"/>
  <c r="F102" i="5" s="1"/>
  <c r="D15" i="5"/>
  <c r="F15" i="5" a="1"/>
  <c r="F15" i="5" s="1"/>
  <c r="D146" i="5"/>
  <c r="F146" i="5" a="1"/>
  <c r="F146" i="5" s="1"/>
  <c r="D212" i="5"/>
  <c r="F212" i="5" a="1"/>
  <c r="F212" i="5" s="1"/>
  <c r="D124" i="5"/>
  <c r="F124" i="5" a="1"/>
  <c r="F124" i="5" s="1"/>
  <c r="D147" i="5"/>
  <c r="F147" i="5" a="1"/>
  <c r="F147" i="5" s="1"/>
  <c r="D278" i="5"/>
  <c r="F278" i="5" a="1"/>
  <c r="F278" i="5" s="1"/>
  <c r="D234" i="5"/>
  <c r="F234" i="5" a="1"/>
  <c r="F234" i="5" s="1"/>
  <c r="D256" i="5"/>
  <c r="F256" i="5" a="1"/>
  <c r="F256" i="5" s="1"/>
  <c r="D279" i="5"/>
  <c r="F279" i="5" a="1"/>
  <c r="F279" i="5" s="1"/>
  <c r="D410" i="5"/>
  <c r="F410" i="5" a="1"/>
  <c r="F410" i="5" s="1"/>
  <c r="D366" i="5"/>
  <c r="F366" i="5" a="1"/>
  <c r="F366" i="5" s="1"/>
  <c r="D388" i="5"/>
  <c r="F388" i="5" a="1"/>
  <c r="F388" i="5" s="1"/>
  <c r="D411" i="5"/>
  <c r="F411" i="5" a="1"/>
  <c r="F411" i="5" s="1"/>
  <c r="D542" i="5"/>
  <c r="F542" i="5" a="1"/>
  <c r="F542" i="5" s="1"/>
  <c r="D498" i="5"/>
  <c r="F498" i="5" a="1"/>
  <c r="F498" i="5" s="1"/>
  <c r="D520" i="5"/>
  <c r="F520" i="5" a="1"/>
  <c r="F520" i="5" s="1"/>
  <c r="D543" i="5"/>
  <c r="F543" i="5" a="1"/>
  <c r="F543" i="5" s="1"/>
  <c r="D564" i="5"/>
  <c r="F564" i="5" a="1"/>
  <c r="F564" i="5" s="1"/>
  <c r="D630" i="5"/>
  <c r="F630" i="5" a="1"/>
  <c r="F630" i="5" s="1"/>
  <c r="D652" i="5"/>
  <c r="F652" i="5" a="1"/>
  <c r="F652" i="5" s="1"/>
  <c r="D674" i="5"/>
  <c r="F674" i="5" a="1"/>
  <c r="F674" i="5" s="1"/>
  <c r="D696" i="5"/>
  <c r="F696" i="5" a="1"/>
  <c r="F696" i="5" s="1"/>
  <c r="D762" i="5"/>
  <c r="F762" i="5" a="1"/>
  <c r="F762" i="5" s="1"/>
  <c r="D2" i="5"/>
  <c r="F2" i="5" a="1"/>
  <c r="F2" i="5" s="1"/>
  <c r="D24" i="5"/>
  <c r="F24" i="5" a="1"/>
  <c r="F24" i="5" s="1"/>
  <c r="D46" i="5"/>
  <c r="F46" i="5" a="1"/>
  <c r="F46" i="5" s="1"/>
  <c r="D112" i="5"/>
  <c r="F112" i="5" a="1"/>
  <c r="F112" i="5" s="1"/>
  <c r="D134" i="5"/>
  <c r="F134" i="5" a="1"/>
  <c r="F134" i="5" s="1"/>
  <c r="D156" i="5"/>
  <c r="F156" i="5" a="1"/>
  <c r="F156" i="5" s="1"/>
  <c r="D178" i="5"/>
  <c r="F178" i="5" a="1"/>
  <c r="F178" i="5" s="1"/>
  <c r="D244" i="5"/>
  <c r="F244" i="5" a="1"/>
  <c r="F244" i="5" s="1"/>
  <c r="D266" i="5"/>
  <c r="F266" i="5" a="1"/>
  <c r="F266" i="5" s="1"/>
  <c r="D288" i="5"/>
  <c r="F288" i="5" a="1"/>
  <c r="F288" i="5" s="1"/>
  <c r="D310" i="5"/>
  <c r="F310" i="5" a="1"/>
  <c r="F310" i="5" s="1"/>
  <c r="D23" i="5"/>
  <c r="F23" i="5" a="1"/>
  <c r="F23" i="5" s="1"/>
  <c r="D44" i="5"/>
  <c r="F44" i="5" a="1"/>
  <c r="F44" i="5" s="1"/>
  <c r="D66" i="5"/>
  <c r="F66" i="5" a="1"/>
  <c r="F66" i="5" s="1"/>
  <c r="D89" i="5"/>
  <c r="F89" i="5" a="1"/>
  <c r="F89" i="5" s="1"/>
  <c r="D111" i="5"/>
  <c r="F111" i="5" a="1"/>
  <c r="F111" i="5" s="1"/>
  <c r="D45" i="5"/>
  <c r="F45" i="5" a="1"/>
  <c r="F45" i="5" s="1"/>
  <c r="D67" i="5"/>
  <c r="F67" i="5" a="1"/>
  <c r="F67" i="5" s="1"/>
  <c r="D155" i="5"/>
  <c r="F155" i="5" a="1"/>
  <c r="F155" i="5" s="1"/>
  <c r="D176" i="5"/>
  <c r="F176" i="5" a="1"/>
  <c r="F176" i="5" s="1"/>
  <c r="D198" i="5"/>
  <c r="F198" i="5" a="1"/>
  <c r="F198" i="5" s="1"/>
  <c r="D221" i="5"/>
  <c r="F221" i="5" a="1"/>
  <c r="F221" i="5" s="1"/>
  <c r="D133" i="5"/>
  <c r="F133" i="5" a="1"/>
  <c r="F133" i="5" s="1"/>
  <c r="D177" i="5"/>
  <c r="F177" i="5" a="1"/>
  <c r="F177" i="5" s="1"/>
  <c r="D199" i="5"/>
  <c r="F199" i="5" a="1"/>
  <c r="F199" i="5" s="1"/>
  <c r="D287" i="5"/>
  <c r="F287" i="5" a="1"/>
  <c r="F287" i="5" s="1"/>
  <c r="D308" i="5"/>
  <c r="F308" i="5" a="1"/>
  <c r="F308" i="5" s="1"/>
  <c r="D330" i="5"/>
  <c r="F330" i="5" a="1"/>
  <c r="F330" i="5" s="1"/>
  <c r="D243" i="5"/>
  <c r="F243" i="5" a="1"/>
  <c r="F243" i="5" s="1"/>
  <c r="D265" i="5"/>
  <c r="F265" i="5" a="1"/>
  <c r="F265" i="5" s="1"/>
  <c r="D309" i="5"/>
  <c r="F309" i="5" a="1"/>
  <c r="F309" i="5" s="1"/>
  <c r="D331" i="5"/>
  <c r="F331" i="5" a="1"/>
  <c r="F331" i="5" s="1"/>
  <c r="D419" i="5"/>
  <c r="F419" i="5" a="1"/>
  <c r="F419" i="5" s="1"/>
  <c r="D440" i="5"/>
  <c r="F440" i="5" a="1"/>
  <c r="F440" i="5" s="1"/>
  <c r="D353" i="5"/>
  <c r="F353" i="5" a="1"/>
  <c r="F353" i="5" s="1"/>
  <c r="D375" i="5"/>
  <c r="F375" i="5" a="1"/>
  <c r="F375" i="5" s="1"/>
  <c r="D397" i="5"/>
  <c r="F397" i="5" a="1"/>
  <c r="F397" i="5" s="1"/>
  <c r="D441" i="5"/>
  <c r="F441" i="5" a="1"/>
  <c r="F441" i="5" s="1"/>
  <c r="D462" i="5"/>
  <c r="F462" i="5" a="1"/>
  <c r="F462" i="5" s="1"/>
  <c r="D551" i="5"/>
  <c r="F551" i="5" a="1"/>
  <c r="F551" i="5" s="1"/>
  <c r="D463" i="5"/>
  <c r="F463" i="5" a="1"/>
  <c r="F463" i="5" s="1"/>
  <c r="D485" i="5"/>
  <c r="F485" i="5" a="1"/>
  <c r="F485" i="5" s="1"/>
  <c r="D507" i="5"/>
  <c r="F507" i="5" a="1"/>
  <c r="F507" i="5" s="1"/>
  <c r="D529" i="5"/>
  <c r="F529" i="5" a="1"/>
  <c r="F529" i="5" s="1"/>
  <c r="D572" i="5"/>
  <c r="F572" i="5" a="1"/>
  <c r="F572" i="5" s="1"/>
  <c r="D594" i="5"/>
  <c r="F594" i="5" a="1"/>
  <c r="F594" i="5" s="1"/>
  <c r="D573" i="5"/>
  <c r="F573" i="5" a="1"/>
  <c r="F573" i="5" s="1"/>
  <c r="D595" i="5"/>
  <c r="F595" i="5" a="1"/>
  <c r="F595" i="5" s="1"/>
  <c r="D617" i="5"/>
  <c r="F617" i="5" a="1"/>
  <c r="F617" i="5" s="1"/>
  <c r="D639" i="5"/>
  <c r="F639" i="5" a="1"/>
  <c r="F639" i="5" s="1"/>
  <c r="D661" i="5"/>
  <c r="F661" i="5" a="1"/>
  <c r="F661" i="5" s="1"/>
  <c r="D704" i="5"/>
  <c r="F704" i="5" a="1"/>
  <c r="F704" i="5" s="1"/>
  <c r="D726" i="5"/>
  <c r="F726" i="5" a="1"/>
  <c r="F726" i="5" s="1"/>
  <c r="D705" i="5"/>
  <c r="F705" i="5" a="1"/>
  <c r="F705" i="5" s="1"/>
  <c r="D727" i="5"/>
  <c r="F727" i="5" a="1"/>
  <c r="F727" i="5" s="1"/>
  <c r="D749" i="5"/>
  <c r="F749" i="5" a="1"/>
  <c r="F749" i="5" s="1"/>
  <c r="D771" i="5"/>
  <c r="F771" i="5" a="1"/>
  <c r="F771" i="5" s="1"/>
  <c r="D5" i="5"/>
  <c r="F5" i="5" a="1"/>
  <c r="F5" i="5" s="1"/>
  <c r="D48" i="5"/>
  <c r="F48" i="5" a="1"/>
  <c r="F48" i="5" s="1"/>
  <c r="D70" i="5"/>
  <c r="F70" i="5" a="1"/>
  <c r="F70" i="5" s="1"/>
  <c r="D49" i="5"/>
  <c r="F49" i="5" a="1"/>
  <c r="F49" i="5" s="1"/>
  <c r="D71" i="5"/>
  <c r="F71" i="5" a="1"/>
  <c r="F71" i="5" s="1"/>
  <c r="D93" i="5"/>
  <c r="F93" i="5" a="1"/>
  <c r="F93" i="5" s="1"/>
  <c r="D115" i="5"/>
  <c r="F115" i="5" a="1"/>
  <c r="F115" i="5" s="1"/>
  <c r="D137" i="5"/>
  <c r="F137" i="5" a="1"/>
  <c r="F137" i="5" s="1"/>
  <c r="D180" i="5"/>
  <c r="F180" i="5" a="1"/>
  <c r="F180" i="5" s="1"/>
  <c r="D202" i="5"/>
  <c r="F202" i="5" a="1"/>
  <c r="F202" i="5" s="1"/>
  <c r="D181" i="5"/>
  <c r="F181" i="5" a="1"/>
  <c r="F181" i="5" s="1"/>
  <c r="D203" i="5"/>
  <c r="F203" i="5" a="1"/>
  <c r="F203" i="5" s="1"/>
  <c r="D224" i="5"/>
  <c r="F224" i="5" a="1"/>
  <c r="F224" i="5" s="1"/>
  <c r="D247" i="5"/>
  <c r="F247" i="5" a="1"/>
  <c r="F247" i="5" s="1"/>
  <c r="D269" i="5"/>
  <c r="F269" i="5" a="1"/>
  <c r="F269" i="5" s="1"/>
  <c r="D312" i="5"/>
  <c r="F312" i="5" a="1"/>
  <c r="F312" i="5" s="1"/>
  <c r="D225" i="5"/>
  <c r="F225" i="5" a="1"/>
  <c r="F225" i="5" s="1"/>
  <c r="D313" i="5"/>
  <c r="F313" i="5" a="1"/>
  <c r="F313" i="5" s="1"/>
  <c r="D334" i="5"/>
  <c r="F334" i="5" a="1"/>
  <c r="F334" i="5" s="1"/>
  <c r="D356" i="5"/>
  <c r="F356" i="5" a="1"/>
  <c r="F356" i="5" s="1"/>
  <c r="D379" i="5"/>
  <c r="F379" i="5" a="1"/>
  <c r="F379" i="5" s="1"/>
  <c r="D401" i="5"/>
  <c r="F401" i="5" a="1"/>
  <c r="F401" i="5" s="1"/>
  <c r="D335" i="5"/>
  <c r="F335" i="5" a="1"/>
  <c r="F335" i="5" s="1"/>
  <c r="D357" i="5"/>
  <c r="F357" i="5" a="1"/>
  <c r="F357" i="5" s="1"/>
  <c r="D445" i="5"/>
  <c r="F445" i="5" a="1"/>
  <c r="F445" i="5" s="1"/>
  <c r="D466" i="5"/>
  <c r="F466" i="5" a="1"/>
  <c r="F466" i="5" s="1"/>
  <c r="D488" i="5"/>
  <c r="F488" i="5" a="1"/>
  <c r="F488" i="5" s="1"/>
  <c r="D511" i="5"/>
  <c r="F511" i="5" a="1"/>
  <c r="F511" i="5" s="1"/>
  <c r="D533" i="5"/>
  <c r="F533" i="5" a="1"/>
  <c r="F533" i="5" s="1"/>
  <c r="D467" i="5"/>
  <c r="F467" i="5" a="1"/>
  <c r="F467" i="5" s="1"/>
  <c r="D489" i="5"/>
  <c r="F489" i="5" a="1"/>
  <c r="F489" i="5" s="1"/>
  <c r="D577" i="5"/>
  <c r="F577" i="5" a="1"/>
  <c r="F577" i="5" s="1"/>
  <c r="D598" i="5"/>
  <c r="F598" i="5" a="1"/>
  <c r="F598" i="5" s="1"/>
  <c r="D620" i="5"/>
  <c r="F620" i="5" a="1"/>
  <c r="F620" i="5" s="1"/>
  <c r="D643" i="5"/>
  <c r="F643" i="5" a="1"/>
  <c r="F643" i="5" s="1"/>
  <c r="D555" i="5"/>
  <c r="F555" i="5" a="1"/>
  <c r="F555" i="5" s="1"/>
  <c r="D599" i="5"/>
  <c r="F599" i="5" a="1"/>
  <c r="F599" i="5" s="1"/>
  <c r="D621" i="5"/>
  <c r="F621" i="5" a="1"/>
  <c r="F621" i="5" s="1"/>
  <c r="D709" i="5"/>
  <c r="F709" i="5" a="1"/>
  <c r="F709" i="5" s="1"/>
  <c r="D730" i="5"/>
  <c r="F730" i="5" a="1"/>
  <c r="F730" i="5" s="1"/>
  <c r="D752" i="5"/>
  <c r="F752" i="5" a="1"/>
  <c r="F752" i="5" s="1"/>
  <c r="D665" i="5"/>
  <c r="F665" i="5" a="1"/>
  <c r="F665" i="5" s="1"/>
  <c r="D687" i="5"/>
  <c r="F687" i="5" a="1"/>
  <c r="F687" i="5" s="1"/>
  <c r="D731" i="5"/>
  <c r="F731" i="5" a="1"/>
  <c r="F731" i="5" s="1"/>
  <c r="D753" i="5"/>
  <c r="F753" i="5" a="1"/>
  <c r="F753" i="5" s="1"/>
  <c r="D87" i="5"/>
  <c r="F87" i="5" a="1"/>
  <c r="F87" i="5" s="1"/>
  <c r="D108" i="5"/>
  <c r="F108" i="5" a="1"/>
  <c r="F108" i="5" s="1"/>
  <c r="D21" i="5"/>
  <c r="F21" i="5" a="1"/>
  <c r="F21" i="5" s="1"/>
  <c r="D43" i="5"/>
  <c r="F43" i="5" a="1"/>
  <c r="F43" i="5" s="1"/>
  <c r="D65" i="5"/>
  <c r="F65" i="5" a="1"/>
  <c r="F65" i="5" s="1"/>
  <c r="D109" i="5"/>
  <c r="F109" i="5" a="1"/>
  <c r="F109" i="5" s="1"/>
  <c r="D130" i="5"/>
  <c r="F130" i="5" a="1"/>
  <c r="F130" i="5" s="1"/>
  <c r="D219" i="5"/>
  <c r="F219" i="5" a="1"/>
  <c r="F219" i="5" s="1"/>
  <c r="D131" i="5"/>
  <c r="F131" i="5" a="1"/>
  <c r="F131" i="5" s="1"/>
  <c r="D153" i="5"/>
  <c r="F153" i="5" a="1"/>
  <c r="F153" i="5" s="1"/>
  <c r="D175" i="5"/>
  <c r="F175" i="5" a="1"/>
  <c r="F175" i="5" s="1"/>
  <c r="D197" i="5"/>
  <c r="F197" i="5" a="1"/>
  <c r="F197" i="5" s="1"/>
  <c r="D240" i="5"/>
  <c r="F240" i="5" a="1"/>
  <c r="F240" i="5" s="1"/>
  <c r="D262" i="5"/>
  <c r="F262" i="5" a="1"/>
  <c r="F262" i="5" s="1"/>
  <c r="D241" i="5"/>
  <c r="F241" i="5" a="1"/>
  <c r="F241" i="5" s="1"/>
  <c r="D263" i="5"/>
  <c r="F263" i="5" a="1"/>
  <c r="F263" i="5" s="1"/>
  <c r="D285" i="5"/>
  <c r="F285" i="5" a="1"/>
  <c r="F285" i="5" s="1"/>
  <c r="D307" i="5"/>
  <c r="F307" i="5" a="1"/>
  <c r="F307" i="5" s="1"/>
  <c r="D329" i="5"/>
  <c r="F329" i="5" a="1"/>
  <c r="F329" i="5" s="1"/>
  <c r="D372" i="5"/>
  <c r="F372" i="5" a="1"/>
  <c r="F372" i="5" s="1"/>
  <c r="D394" i="5"/>
  <c r="F394" i="5" a="1"/>
  <c r="F394" i="5" s="1"/>
  <c r="D373" i="5"/>
  <c r="F373" i="5" a="1"/>
  <c r="F373" i="5" s="1"/>
  <c r="D395" i="5"/>
  <c r="F395" i="5" a="1"/>
  <c r="F395" i="5" s="1"/>
  <c r="D417" i="5"/>
  <c r="F417" i="5" a="1"/>
  <c r="F417" i="5" s="1"/>
  <c r="D439" i="5"/>
  <c r="F439" i="5" a="1"/>
  <c r="F439" i="5" s="1"/>
  <c r="D461" i="5"/>
  <c r="F461" i="5" a="1"/>
  <c r="F461" i="5" s="1"/>
  <c r="D504" i="5"/>
  <c r="F504" i="5" a="1"/>
  <c r="F504" i="5" s="1"/>
  <c r="D526" i="5"/>
  <c r="F526" i="5" a="1"/>
  <c r="F526" i="5" s="1"/>
  <c r="D505" i="5"/>
  <c r="F505" i="5" a="1"/>
  <c r="F505" i="5" s="1"/>
  <c r="D527" i="5"/>
  <c r="F527" i="5" a="1"/>
  <c r="F527" i="5" s="1"/>
  <c r="D549" i="5"/>
  <c r="F549" i="5" a="1"/>
  <c r="F549" i="5" s="1"/>
  <c r="D571" i="5"/>
  <c r="F571" i="5" a="1"/>
  <c r="F571" i="5" s="1"/>
  <c r="D593" i="5"/>
  <c r="F593" i="5" a="1"/>
  <c r="F593" i="5" s="1"/>
  <c r="D636" i="5"/>
  <c r="F636" i="5" a="1"/>
  <c r="F636" i="5" s="1"/>
  <c r="D658" i="5"/>
  <c r="F658" i="5" a="1"/>
  <c r="F658" i="5" s="1"/>
  <c r="D637" i="5"/>
  <c r="F637" i="5" a="1"/>
  <c r="F637" i="5" s="1"/>
  <c r="D659" i="5"/>
  <c r="F659" i="5" a="1"/>
  <c r="F659" i="5" s="1"/>
  <c r="D680" i="5"/>
  <c r="F680" i="5" a="1"/>
  <c r="F680" i="5" s="1"/>
  <c r="D703" i="5"/>
  <c r="F703" i="5" a="1"/>
  <c r="F703" i="5" s="1"/>
  <c r="D725" i="5"/>
  <c r="F725" i="5" a="1"/>
  <c r="F725" i="5" s="1"/>
  <c r="D768" i="5"/>
  <c r="F768" i="5" a="1"/>
  <c r="F768" i="5" s="1"/>
  <c r="D681" i="5"/>
  <c r="F681" i="5" a="1"/>
  <c r="F681" i="5" s="1"/>
  <c r="D769" i="5"/>
  <c r="F769" i="5" a="1"/>
  <c r="F769" i="5" s="1"/>
  <c r="D6" i="5"/>
  <c r="F6" i="5" a="1"/>
  <c r="F6" i="5" s="1"/>
  <c r="D28" i="5"/>
  <c r="F28" i="5" a="1"/>
  <c r="F28" i="5" s="1"/>
  <c r="D51" i="5"/>
  <c r="F51" i="5" a="1"/>
  <c r="F51" i="5" s="1"/>
  <c r="D73" i="5"/>
  <c r="F73" i="5" a="1"/>
  <c r="F73" i="5" s="1"/>
  <c r="D7" i="5"/>
  <c r="F7" i="5" a="1"/>
  <c r="F7" i="5" s="1"/>
  <c r="D29" i="5"/>
  <c r="F29" i="5" a="1"/>
  <c r="F29" i="5" s="1"/>
  <c r="D117" i="5"/>
  <c r="F117" i="5" a="1"/>
  <c r="F117" i="5" s="1"/>
  <c r="D138" i="5"/>
  <c r="F138" i="5" a="1"/>
  <c r="F138" i="5" s="1"/>
  <c r="D160" i="5"/>
  <c r="F160" i="5" a="1"/>
  <c r="F160" i="5" s="1"/>
  <c r="D183" i="5"/>
  <c r="F183" i="5" a="1"/>
  <c r="F183" i="5" s="1"/>
  <c r="D205" i="5"/>
  <c r="F205" i="5" a="1"/>
  <c r="F205" i="5" s="1"/>
  <c r="D139" i="5"/>
  <c r="F139" i="5" a="1"/>
  <c r="F139" i="5" s="1"/>
  <c r="D161" i="5"/>
  <c r="F161" i="5" a="1"/>
  <c r="F161" i="5" s="1"/>
  <c r="D249" i="5"/>
  <c r="F249" i="5" a="1"/>
  <c r="F249" i="5" s="1"/>
  <c r="D270" i="5"/>
  <c r="F270" i="5" a="1"/>
  <c r="F270" i="5" s="1"/>
  <c r="D292" i="5"/>
  <c r="F292" i="5" a="1"/>
  <c r="F292" i="5" s="1"/>
  <c r="D315" i="5"/>
  <c r="F315" i="5" a="1"/>
  <c r="F315" i="5" s="1"/>
  <c r="D227" i="5"/>
  <c r="F227" i="5" a="1"/>
  <c r="F227" i="5" s="1"/>
  <c r="D271" i="5"/>
  <c r="F271" i="5" a="1"/>
  <c r="F271" i="5" s="1"/>
  <c r="D293" i="5"/>
  <c r="F293" i="5" a="1"/>
  <c r="F293" i="5" s="1"/>
  <c r="D381" i="5"/>
  <c r="F381" i="5" a="1"/>
  <c r="F381" i="5" s="1"/>
  <c r="D402" i="5"/>
  <c r="F402" i="5" a="1"/>
  <c r="F402" i="5" s="1"/>
  <c r="D424" i="5"/>
  <c r="F424" i="5" a="1"/>
  <c r="F424" i="5" s="1"/>
  <c r="D337" i="5"/>
  <c r="F337" i="5" a="1"/>
  <c r="F337" i="5" s="1"/>
  <c r="D359" i="5"/>
  <c r="F359" i="5" a="1"/>
  <c r="F359" i="5" s="1"/>
  <c r="D403" i="5"/>
  <c r="F403" i="5" a="1"/>
  <c r="F403" i="5" s="1"/>
  <c r="D425" i="5"/>
  <c r="F425" i="5" a="1"/>
  <c r="F425" i="5" s="1"/>
  <c r="D513" i="5"/>
  <c r="F513" i="5" a="1"/>
  <c r="F513" i="5" s="1"/>
  <c r="D534" i="5"/>
  <c r="F534" i="5" a="1"/>
  <c r="F534" i="5" s="1"/>
  <c r="D447" i="5"/>
  <c r="F447" i="5" a="1"/>
  <c r="F447" i="5" s="1"/>
  <c r="D469" i="5"/>
  <c r="F469" i="5" a="1"/>
  <c r="F469" i="5" s="1"/>
  <c r="D491" i="5"/>
  <c r="F491" i="5" a="1"/>
  <c r="F491" i="5" s="1"/>
  <c r="D535" i="5"/>
  <c r="F535" i="5" a="1"/>
  <c r="F535" i="5" s="1"/>
  <c r="D556" i="5"/>
  <c r="F556" i="5" a="1"/>
  <c r="F556" i="5" s="1"/>
  <c r="D645" i="5"/>
  <c r="F645" i="5" a="1"/>
  <c r="F645" i="5" s="1"/>
  <c r="D557" i="5"/>
  <c r="F557" i="5" a="1"/>
  <c r="F557" i="5" s="1"/>
  <c r="D579" i="5"/>
  <c r="F579" i="5" a="1"/>
  <c r="F579" i="5" s="1"/>
  <c r="D601" i="5"/>
  <c r="F601" i="5" a="1"/>
  <c r="F601" i="5" s="1"/>
  <c r="D623" i="5"/>
  <c r="F623" i="5" a="1"/>
  <c r="F623" i="5" s="1"/>
  <c r="D666" i="5"/>
  <c r="F666" i="5" a="1"/>
  <c r="F666" i="5" s="1"/>
  <c r="D688" i="5"/>
  <c r="F688" i="5" a="1"/>
  <c r="F688" i="5" s="1"/>
  <c r="D667" i="5"/>
  <c r="F667" i="5" a="1"/>
  <c r="F667" i="5" s="1"/>
  <c r="D689" i="5"/>
  <c r="F689" i="5" a="1"/>
  <c r="F689" i="5" s="1"/>
  <c r="D711" i="5"/>
  <c r="F711" i="5" a="1"/>
  <c r="F711" i="5" s="1"/>
  <c r="D733" i="5"/>
  <c r="F733" i="5" a="1"/>
  <c r="F733" i="5" s="1"/>
  <c r="D755" i="5"/>
  <c r="F755" i="5" a="1"/>
  <c r="F755" i="5" s="1"/>
  <c r="D36" i="5"/>
  <c r="F36" i="5" a="1"/>
  <c r="F36" i="5" s="1"/>
  <c r="D58" i="5"/>
  <c r="F58" i="5" a="1"/>
  <c r="F58" i="5" s="1"/>
  <c r="D37" i="5"/>
  <c r="F37" i="5" a="1"/>
  <c r="F37" i="5" s="1"/>
  <c r="D59" i="5"/>
  <c r="F59" i="5" a="1"/>
  <c r="F59" i="5" s="1"/>
  <c r="D81" i="5"/>
  <c r="F81" i="5" a="1"/>
  <c r="F81" i="5" s="1"/>
  <c r="D103" i="5"/>
  <c r="F103" i="5" a="1"/>
  <c r="F103" i="5" s="1"/>
  <c r="D125" i="5"/>
  <c r="F125" i="5" a="1"/>
  <c r="F125" i="5" s="1"/>
  <c r="D168" i="5"/>
  <c r="F168" i="5" a="1"/>
  <c r="F168" i="5" s="1"/>
  <c r="D190" i="5"/>
  <c r="F190" i="5" a="1"/>
  <c r="F190" i="5" s="1"/>
  <c r="D169" i="5"/>
  <c r="F169" i="5" a="1"/>
  <c r="F169" i="5" s="1"/>
  <c r="D191" i="5"/>
  <c r="F191" i="5" a="1"/>
  <c r="F191" i="5" s="1"/>
  <c r="D213" i="5"/>
  <c r="F213" i="5" a="1"/>
  <c r="F213" i="5" s="1"/>
  <c r="D235" i="5"/>
  <c r="F235" i="5" a="1"/>
  <c r="F235" i="5" s="1"/>
  <c r="D257" i="5"/>
  <c r="F257" i="5" a="1"/>
  <c r="F257" i="5" s="1"/>
  <c r="D300" i="5"/>
  <c r="F300" i="5" a="1"/>
  <c r="F300" i="5" s="1"/>
  <c r="D322" i="5"/>
  <c r="F322" i="5" a="1"/>
  <c r="F322" i="5" s="1"/>
  <c r="D301" i="5"/>
  <c r="F301" i="5" a="1"/>
  <c r="F301" i="5" s="1"/>
  <c r="D323" i="5"/>
  <c r="F323" i="5" a="1"/>
  <c r="F323" i="5" s="1"/>
  <c r="D344" i="5"/>
  <c r="F344" i="5" a="1"/>
  <c r="F344" i="5" s="1"/>
  <c r="D367" i="5"/>
  <c r="F367" i="5" a="1"/>
  <c r="F367" i="5" s="1"/>
  <c r="D389" i="5"/>
  <c r="F389" i="5" a="1"/>
  <c r="F389" i="5" s="1"/>
  <c r="D432" i="5"/>
  <c r="F432" i="5" a="1"/>
  <c r="F432" i="5" s="1"/>
  <c r="D345" i="5"/>
  <c r="F345" i="5" a="1"/>
  <c r="F345" i="5" s="1"/>
  <c r="D433" i="5"/>
  <c r="F433" i="5" a="1"/>
  <c r="F433" i="5" s="1"/>
  <c r="D454" i="5"/>
  <c r="F454" i="5" a="1"/>
  <c r="F454" i="5" s="1"/>
  <c r="D476" i="5"/>
  <c r="F476" i="5" a="1"/>
  <c r="F476" i="5" s="1"/>
  <c r="D499" i="5"/>
  <c r="F499" i="5" a="1"/>
  <c r="F499" i="5" s="1"/>
  <c r="D521" i="5"/>
  <c r="F521" i="5" a="1"/>
  <c r="F521" i="5" s="1"/>
  <c r="D455" i="5"/>
  <c r="F455" i="5" a="1"/>
  <c r="F455" i="5" s="1"/>
  <c r="D477" i="5"/>
  <c r="F477" i="5" a="1"/>
  <c r="F477" i="5" s="1"/>
  <c r="D565" i="5"/>
  <c r="F565" i="5" a="1"/>
  <c r="F565" i="5" s="1"/>
  <c r="D586" i="5"/>
  <c r="F586" i="5" a="1"/>
  <c r="F586" i="5" s="1"/>
  <c r="D608" i="5"/>
  <c r="F608" i="5" a="1"/>
  <c r="F608" i="5" s="1"/>
  <c r="D631" i="5"/>
  <c r="F631" i="5" a="1"/>
  <c r="F631" i="5" s="1"/>
  <c r="D653" i="5"/>
  <c r="F653" i="5" a="1"/>
  <c r="F653" i="5" s="1"/>
  <c r="D587" i="5"/>
  <c r="F587" i="5" a="1"/>
  <c r="F587" i="5" s="1"/>
  <c r="D609" i="5"/>
  <c r="F609" i="5" a="1"/>
  <c r="F609" i="5" s="1"/>
  <c r="D697" i="5"/>
  <c r="F697" i="5" a="1"/>
  <c r="F697" i="5" s="1"/>
  <c r="D718" i="5"/>
  <c r="F718" i="5" a="1"/>
  <c r="F718" i="5" s="1"/>
  <c r="D740" i="5"/>
  <c r="F740" i="5" a="1"/>
  <c r="F740" i="5" s="1"/>
  <c r="D763" i="5"/>
  <c r="F763" i="5" a="1"/>
  <c r="F763" i="5" s="1"/>
  <c r="D675" i="5"/>
  <c r="F675" i="5" a="1"/>
  <c r="F675" i="5" s="1"/>
  <c r="D719" i="5"/>
  <c r="F719" i="5" a="1"/>
  <c r="F719" i="5" s="1"/>
  <c r="D741" i="5"/>
  <c r="F741" i="5" a="1"/>
  <c r="F741" i="5" s="1"/>
  <c r="D47" i="5"/>
  <c r="F47" i="5" a="1"/>
  <c r="F47" i="5" s="1"/>
  <c r="D68" i="5"/>
  <c r="F68" i="5" a="1"/>
  <c r="F68" i="5" s="1"/>
  <c r="D90" i="5"/>
  <c r="F90" i="5" a="1"/>
  <c r="F90" i="5" s="1"/>
  <c r="D3" i="5"/>
  <c r="F3" i="5" a="1"/>
  <c r="F3" i="5" s="1"/>
  <c r="D25" i="5"/>
  <c r="F25" i="5" a="1"/>
  <c r="F25" i="5" s="1"/>
  <c r="D69" i="5"/>
  <c r="F69" i="5" a="1"/>
  <c r="F69" i="5" s="1"/>
  <c r="D91" i="5"/>
  <c r="F91" i="5" a="1"/>
  <c r="F91" i="5" s="1"/>
  <c r="D179" i="5"/>
  <c r="F179" i="5" a="1"/>
  <c r="F179" i="5" s="1"/>
  <c r="D200" i="5"/>
  <c r="F200" i="5" a="1"/>
  <c r="F200" i="5" s="1"/>
  <c r="D113" i="5"/>
  <c r="F113" i="5" a="1"/>
  <c r="F113" i="5" s="1"/>
  <c r="D135" i="5"/>
  <c r="F135" i="5" a="1"/>
  <c r="F135" i="5" s="1"/>
  <c r="D157" i="5"/>
  <c r="F157" i="5" a="1"/>
  <c r="F157" i="5" s="1"/>
  <c r="D201" i="5"/>
  <c r="F201" i="5" a="1"/>
  <c r="F201" i="5" s="1"/>
  <c r="D222" i="5"/>
  <c r="F222" i="5" a="1"/>
  <c r="F222" i="5" s="1"/>
  <c r="D311" i="5"/>
  <c r="F311" i="5" a="1"/>
  <c r="F311" i="5" s="1"/>
  <c r="D223" i="5"/>
  <c r="F223" i="5" a="1"/>
  <c r="F223" i="5" s="1"/>
  <c r="D245" i="5"/>
  <c r="F245" i="5" a="1"/>
  <c r="F245" i="5" s="1"/>
  <c r="D267" i="5"/>
  <c r="F267" i="5" a="1"/>
  <c r="F267" i="5" s="1"/>
  <c r="D289" i="5"/>
  <c r="F289" i="5" a="1"/>
  <c r="F289" i="5" s="1"/>
  <c r="D332" i="5"/>
  <c r="F332" i="5" a="1"/>
  <c r="F332" i="5" s="1"/>
  <c r="D354" i="5"/>
  <c r="F354" i="5" a="1"/>
  <c r="F354" i="5" s="1"/>
  <c r="D376" i="5"/>
  <c r="F376" i="5" a="1"/>
  <c r="F376" i="5" s="1"/>
  <c r="D398" i="5"/>
  <c r="F398" i="5" a="1"/>
  <c r="F398" i="5" s="1"/>
  <c r="D420" i="5"/>
  <c r="F420" i="5" a="1"/>
  <c r="F420" i="5" s="1"/>
  <c r="D333" i="5"/>
  <c r="F333" i="5" a="1"/>
  <c r="F333" i="5" s="1"/>
  <c r="D355" i="5"/>
  <c r="F355" i="5" a="1"/>
  <c r="F355" i="5" s="1"/>
  <c r="D377" i="5"/>
  <c r="F377" i="5" a="1"/>
  <c r="F377" i="5" s="1"/>
  <c r="D399" i="5"/>
  <c r="F399" i="5" a="1"/>
  <c r="F399" i="5" s="1"/>
  <c r="D421" i="5"/>
  <c r="F421" i="5" a="1"/>
  <c r="F421" i="5" s="1"/>
  <c r="D442" i="5"/>
  <c r="F442" i="5" a="1"/>
  <c r="F442" i="5" s="1"/>
  <c r="D464" i="5"/>
  <c r="F464" i="5" a="1"/>
  <c r="F464" i="5" s="1"/>
  <c r="D486" i="5"/>
  <c r="F486" i="5" a="1"/>
  <c r="F486" i="5" s="1"/>
  <c r="D508" i="5"/>
  <c r="F508" i="5" a="1"/>
  <c r="F508" i="5" s="1"/>
  <c r="D530" i="5"/>
  <c r="F530" i="5" a="1"/>
  <c r="F530" i="5" s="1"/>
  <c r="D443" i="5"/>
  <c r="F443" i="5" a="1"/>
  <c r="F443" i="5" s="1"/>
  <c r="D465" i="5"/>
  <c r="F465" i="5" a="1"/>
  <c r="F465" i="5" s="1"/>
  <c r="D487" i="5"/>
  <c r="F487" i="5" a="1"/>
  <c r="F487" i="5" s="1"/>
  <c r="D509" i="5"/>
  <c r="F509" i="5" a="1"/>
  <c r="F509" i="5" s="1"/>
  <c r="D531" i="5"/>
  <c r="F531" i="5" a="1"/>
  <c r="F531" i="5" s="1"/>
  <c r="D552" i="5"/>
  <c r="F552" i="5" a="1"/>
  <c r="F552" i="5" s="1"/>
  <c r="D574" i="5"/>
  <c r="F574" i="5" a="1"/>
  <c r="F574" i="5" s="1"/>
  <c r="D596" i="5"/>
  <c r="F596" i="5" a="1"/>
  <c r="F596" i="5" s="1"/>
  <c r="D618" i="5"/>
  <c r="F618" i="5" a="1"/>
  <c r="F618" i="5" s="1"/>
  <c r="D640" i="5"/>
  <c r="F640" i="5" a="1"/>
  <c r="F640" i="5" s="1"/>
  <c r="D553" i="5"/>
  <c r="F553" i="5" a="1"/>
  <c r="F553" i="5" s="1"/>
  <c r="D575" i="5"/>
  <c r="F575" i="5" a="1"/>
  <c r="F575" i="5" s="1"/>
  <c r="D597" i="5"/>
  <c r="F597" i="5" a="1"/>
  <c r="F597" i="5" s="1"/>
  <c r="D619" i="5"/>
  <c r="F619" i="5" a="1"/>
  <c r="F619" i="5" s="1"/>
  <c r="D641" i="5"/>
  <c r="F641" i="5" a="1"/>
  <c r="F641" i="5" s="1"/>
  <c r="D662" i="5"/>
  <c r="F662" i="5" a="1"/>
  <c r="F662" i="5" s="1"/>
  <c r="D684" i="5"/>
  <c r="F684" i="5" a="1"/>
  <c r="F684" i="5" s="1"/>
  <c r="D706" i="5"/>
  <c r="F706" i="5" a="1"/>
  <c r="F706" i="5" s="1"/>
  <c r="D728" i="5"/>
  <c r="F728" i="5" a="1"/>
  <c r="F728" i="5" s="1"/>
  <c r="D750" i="5"/>
  <c r="F750" i="5" a="1"/>
  <c r="F750" i="5" s="1"/>
  <c r="D663" i="5"/>
  <c r="F663" i="5" a="1"/>
  <c r="F663" i="5" s="1"/>
  <c r="D685" i="5"/>
  <c r="F685" i="5" a="1"/>
  <c r="F685" i="5" s="1"/>
  <c r="D707" i="5"/>
  <c r="F707" i="5" a="1"/>
  <c r="F707" i="5" s="1"/>
  <c r="D729" i="5"/>
  <c r="F729" i="5" a="1"/>
  <c r="F729" i="5" s="1"/>
  <c r="D751" i="5"/>
  <c r="F751" i="5" a="1"/>
  <c r="F751" i="5" s="1"/>
  <c r="D10" i="5"/>
  <c r="F10" i="5" a="1"/>
  <c r="F10" i="5" s="1"/>
  <c r="D32" i="5"/>
  <c r="F32" i="5" a="1"/>
  <c r="F32" i="5" s="1"/>
  <c r="D54" i="5"/>
  <c r="F54" i="5" a="1"/>
  <c r="F54" i="5" s="1"/>
  <c r="D76" i="5"/>
  <c r="F76" i="5" a="1"/>
  <c r="F76" i="5" s="1"/>
  <c r="D98" i="5"/>
  <c r="F98" i="5" a="1"/>
  <c r="F98" i="5" s="1"/>
  <c r="D11" i="5"/>
  <c r="F11" i="5" a="1"/>
  <c r="F11" i="5" s="1"/>
  <c r="D33" i="5"/>
  <c r="F33" i="5" a="1"/>
  <c r="F33" i="5" s="1"/>
  <c r="D55" i="5"/>
  <c r="F55" i="5" a="1"/>
  <c r="F55" i="5" s="1"/>
  <c r="D77" i="5"/>
  <c r="F77" i="5" a="1"/>
  <c r="F77" i="5" s="1"/>
  <c r="D99" i="5"/>
  <c r="F99" i="5" a="1"/>
  <c r="F99" i="5" s="1"/>
  <c r="D120" i="5"/>
  <c r="F120" i="5" a="1"/>
  <c r="F120" i="5" s="1"/>
  <c r="D142" i="5"/>
  <c r="F142" i="5" a="1"/>
  <c r="F142" i="5" s="1"/>
  <c r="D164" i="5"/>
  <c r="F164" i="5" a="1"/>
  <c r="F164" i="5" s="1"/>
  <c r="D186" i="5"/>
  <c r="F186" i="5" a="1"/>
  <c r="F186" i="5" s="1"/>
  <c r="D208" i="5"/>
  <c r="F208" i="5" a="1"/>
  <c r="F208" i="5" s="1"/>
  <c r="D121" i="5"/>
  <c r="F121" i="5" a="1"/>
  <c r="F121" i="5" s="1"/>
  <c r="D143" i="5"/>
  <c r="F143" i="5" a="1"/>
  <c r="F143" i="5" s="1"/>
  <c r="D165" i="5"/>
  <c r="F165" i="5" a="1"/>
  <c r="F165" i="5" s="1"/>
  <c r="D187" i="5"/>
  <c r="F187" i="5" a="1"/>
  <c r="F187" i="5" s="1"/>
  <c r="D209" i="5"/>
  <c r="F209" i="5" a="1"/>
  <c r="F209" i="5" s="1"/>
  <c r="D230" i="5"/>
  <c r="F230" i="5" a="1"/>
  <c r="F230" i="5" s="1"/>
  <c r="D252" i="5"/>
  <c r="F252" i="5" a="1"/>
  <c r="F252" i="5" s="1"/>
  <c r="D274" i="5"/>
  <c r="F274" i="5" a="1"/>
  <c r="F274" i="5" s="1"/>
  <c r="D296" i="5"/>
  <c r="F296" i="5" a="1"/>
  <c r="F296" i="5" s="1"/>
  <c r="D318" i="5"/>
  <c r="F318" i="5" a="1"/>
  <c r="F318" i="5" s="1"/>
  <c r="D231" i="5"/>
  <c r="F231" i="5" a="1"/>
  <c r="F231" i="5" s="1"/>
  <c r="D253" i="5"/>
  <c r="F253" i="5" a="1"/>
  <c r="F253" i="5" s="1"/>
  <c r="D275" i="5"/>
  <c r="F275" i="5" a="1"/>
  <c r="F275" i="5" s="1"/>
  <c r="D297" i="5"/>
  <c r="F297" i="5" a="1"/>
  <c r="F297" i="5" s="1"/>
  <c r="D319" i="5"/>
  <c r="F319" i="5" a="1"/>
  <c r="F319" i="5" s="1"/>
  <c r="D340" i="5"/>
  <c r="F340" i="5" a="1"/>
  <c r="F340" i="5" s="1"/>
  <c r="D362" i="5"/>
  <c r="F362" i="5" a="1"/>
  <c r="F362" i="5" s="1"/>
  <c r="D384" i="5"/>
  <c r="F384" i="5" a="1"/>
  <c r="F384" i="5" s="1"/>
  <c r="D406" i="5"/>
  <c r="F406" i="5" a="1"/>
  <c r="F406" i="5" s="1"/>
  <c r="D428" i="5"/>
  <c r="F428" i="5" a="1"/>
  <c r="F428" i="5" s="1"/>
  <c r="D341" i="5"/>
  <c r="F341" i="5" a="1"/>
  <c r="F341" i="5" s="1"/>
  <c r="D363" i="5"/>
  <c r="F363" i="5" a="1"/>
  <c r="F363" i="5" s="1"/>
  <c r="D385" i="5"/>
  <c r="F385" i="5" a="1"/>
  <c r="F385" i="5" s="1"/>
  <c r="D407" i="5"/>
  <c r="F407" i="5" a="1"/>
  <c r="F407" i="5" s="1"/>
  <c r="D429" i="5"/>
  <c r="F429" i="5" a="1"/>
  <c r="F429" i="5" s="1"/>
  <c r="D450" i="5"/>
  <c r="F450" i="5" a="1"/>
  <c r="F450" i="5" s="1"/>
  <c r="D472" i="5"/>
  <c r="F472" i="5" a="1"/>
  <c r="F472" i="5" s="1"/>
  <c r="D494" i="5"/>
  <c r="F494" i="5" a="1"/>
  <c r="F494" i="5" s="1"/>
  <c r="D516" i="5"/>
  <c r="F516" i="5" a="1"/>
  <c r="F516" i="5" s="1"/>
  <c r="D538" i="5"/>
  <c r="F538" i="5" a="1"/>
  <c r="F538" i="5" s="1"/>
  <c r="D451" i="5"/>
  <c r="F451" i="5" a="1"/>
  <c r="F451" i="5" s="1"/>
  <c r="D473" i="5"/>
  <c r="F473" i="5" a="1"/>
  <c r="F473" i="5" s="1"/>
  <c r="D495" i="5"/>
  <c r="F495" i="5" a="1"/>
  <c r="F495" i="5" s="1"/>
  <c r="D517" i="5"/>
  <c r="F517" i="5" a="1"/>
  <c r="F517" i="5" s="1"/>
  <c r="D539" i="5"/>
  <c r="F539" i="5" a="1"/>
  <c r="F539" i="5" s="1"/>
  <c r="D560" i="5"/>
  <c r="F560" i="5" a="1"/>
  <c r="F560" i="5" s="1"/>
  <c r="D582" i="5"/>
  <c r="F582" i="5" a="1"/>
  <c r="F582" i="5" s="1"/>
  <c r="D604" i="5"/>
  <c r="F604" i="5" a="1"/>
  <c r="F604" i="5" s="1"/>
  <c r="D626" i="5"/>
  <c r="F626" i="5" a="1"/>
  <c r="F626" i="5" s="1"/>
  <c r="D648" i="5"/>
  <c r="F648" i="5" a="1"/>
  <c r="F648" i="5" s="1"/>
  <c r="D561" i="5"/>
  <c r="F561" i="5" a="1"/>
  <c r="F561" i="5" s="1"/>
  <c r="D583" i="5"/>
  <c r="F583" i="5" a="1"/>
  <c r="F583" i="5" s="1"/>
  <c r="D605" i="5"/>
  <c r="F605" i="5" a="1"/>
  <c r="F605" i="5" s="1"/>
  <c r="D627" i="5"/>
  <c r="F627" i="5" a="1"/>
  <c r="F627" i="5" s="1"/>
  <c r="D649" i="5"/>
  <c r="F649" i="5" a="1"/>
  <c r="F649" i="5" s="1"/>
  <c r="D670" i="5"/>
  <c r="F670" i="5" a="1"/>
  <c r="F670" i="5" s="1"/>
  <c r="D692" i="5"/>
  <c r="F692" i="5" a="1"/>
  <c r="F692" i="5" s="1"/>
  <c r="D714" i="5"/>
  <c r="F714" i="5" a="1"/>
  <c r="F714" i="5" s="1"/>
  <c r="D736" i="5"/>
  <c r="F736" i="5" a="1"/>
  <c r="F736" i="5" s="1"/>
  <c r="D758" i="5"/>
  <c r="F758" i="5" a="1"/>
  <c r="F758" i="5" s="1"/>
  <c r="D671" i="5"/>
  <c r="F671" i="5" a="1"/>
  <c r="F671" i="5" s="1"/>
  <c r="D693" i="5"/>
  <c r="F693" i="5" a="1"/>
  <c r="F693" i="5" s="1"/>
  <c r="D715" i="5"/>
  <c r="F715" i="5" a="1"/>
  <c r="F715" i="5" s="1"/>
  <c r="D737" i="5"/>
  <c r="F737" i="5" a="1"/>
  <c r="F737" i="5" s="1"/>
  <c r="D759" i="5"/>
  <c r="F759" i="5" a="1"/>
  <c r="F759" i="5" s="1"/>
  <c r="D16" i="5"/>
  <c r="F16" i="5" a="1"/>
  <c r="F16" i="5" s="1"/>
  <c r="D38" i="5"/>
  <c r="F38" i="5" a="1"/>
  <c r="F38" i="5" s="1"/>
  <c r="D60" i="5"/>
  <c r="F60" i="5" a="1"/>
  <c r="F60" i="5" s="1"/>
  <c r="D82" i="5"/>
  <c r="F82" i="5" a="1"/>
  <c r="F82" i="5" s="1"/>
  <c r="D104" i="5"/>
  <c r="F104" i="5" a="1"/>
  <c r="F104" i="5" s="1"/>
  <c r="D17" i="5"/>
  <c r="F17" i="5" a="1"/>
  <c r="F17" i="5" s="1"/>
  <c r="D39" i="5"/>
  <c r="F39" i="5" a="1"/>
  <c r="F39" i="5" s="1"/>
  <c r="D61" i="5"/>
  <c r="F61" i="5" a="1"/>
  <c r="F61" i="5" s="1"/>
  <c r="D83" i="5"/>
  <c r="F83" i="5" a="1"/>
  <c r="F83" i="5" s="1"/>
  <c r="D105" i="5"/>
  <c r="F105" i="5" a="1"/>
  <c r="F105" i="5" s="1"/>
  <c r="D126" i="5"/>
  <c r="F126" i="5" a="1"/>
  <c r="F126" i="5" s="1"/>
  <c r="D148" i="5"/>
  <c r="F148" i="5" a="1"/>
  <c r="F148" i="5" s="1"/>
  <c r="D170" i="5"/>
  <c r="F170" i="5" a="1"/>
  <c r="F170" i="5" s="1"/>
  <c r="D192" i="5"/>
  <c r="F192" i="5" a="1"/>
  <c r="F192" i="5" s="1"/>
  <c r="D214" i="5"/>
  <c r="F214" i="5" a="1"/>
  <c r="F214" i="5" s="1"/>
  <c r="D127" i="5"/>
  <c r="F127" i="5" a="1"/>
  <c r="F127" i="5" s="1"/>
  <c r="D149" i="5"/>
  <c r="F149" i="5" a="1"/>
  <c r="F149" i="5" s="1"/>
  <c r="D171" i="5"/>
  <c r="F171" i="5" a="1"/>
  <c r="F171" i="5" s="1"/>
  <c r="D193" i="5"/>
  <c r="F193" i="5" a="1"/>
  <c r="F193" i="5" s="1"/>
  <c r="D215" i="5"/>
  <c r="F215" i="5" a="1"/>
  <c r="F215" i="5" s="1"/>
  <c r="D236" i="5"/>
  <c r="F236" i="5" a="1"/>
  <c r="F236" i="5" s="1"/>
  <c r="D258" i="5"/>
  <c r="F258" i="5" a="1"/>
  <c r="F258" i="5" s="1"/>
  <c r="D280" i="5"/>
  <c r="F280" i="5" a="1"/>
  <c r="F280" i="5" s="1"/>
  <c r="D302" i="5"/>
  <c r="F302" i="5" a="1"/>
  <c r="F302" i="5" s="1"/>
  <c r="D324" i="5"/>
  <c r="F324" i="5" a="1"/>
  <c r="F324" i="5" s="1"/>
  <c r="D237" i="5"/>
  <c r="F237" i="5" a="1"/>
  <c r="F237" i="5" s="1"/>
  <c r="D259" i="5"/>
  <c r="F259" i="5" a="1"/>
  <c r="F259" i="5" s="1"/>
  <c r="D281" i="5"/>
  <c r="F281" i="5" a="1"/>
  <c r="F281" i="5" s="1"/>
  <c r="D303" i="5"/>
  <c r="F303" i="5" a="1"/>
  <c r="F303" i="5" s="1"/>
  <c r="D325" i="5"/>
  <c r="F325" i="5" a="1"/>
  <c r="F325" i="5" s="1"/>
  <c r="D346" i="5"/>
  <c r="F346" i="5" a="1"/>
  <c r="F346" i="5" s="1"/>
  <c r="D368" i="5"/>
  <c r="F368" i="5" a="1"/>
  <c r="F368" i="5" s="1"/>
  <c r="D390" i="5"/>
  <c r="F390" i="5" a="1"/>
  <c r="F390" i="5" s="1"/>
  <c r="D412" i="5"/>
  <c r="F412" i="5" a="1"/>
  <c r="F412" i="5" s="1"/>
  <c r="D434" i="5"/>
  <c r="F434" i="5" a="1"/>
  <c r="F434" i="5" s="1"/>
  <c r="D347" i="5"/>
  <c r="F347" i="5" a="1"/>
  <c r="F347" i="5" s="1"/>
  <c r="D369" i="5"/>
  <c r="F369" i="5" a="1"/>
  <c r="F369" i="5" s="1"/>
  <c r="D391" i="5"/>
  <c r="F391" i="5" a="1"/>
  <c r="F391" i="5" s="1"/>
  <c r="D413" i="5"/>
  <c r="F413" i="5" a="1"/>
  <c r="F413" i="5" s="1"/>
  <c r="D435" i="5"/>
  <c r="F435" i="5" a="1"/>
  <c r="F435" i="5" s="1"/>
  <c r="D456" i="5"/>
  <c r="F456" i="5" a="1"/>
  <c r="F456" i="5" s="1"/>
  <c r="D478" i="5"/>
  <c r="F478" i="5" a="1"/>
  <c r="F478" i="5" s="1"/>
  <c r="D500" i="5"/>
  <c r="F500" i="5" a="1"/>
  <c r="F500" i="5" s="1"/>
  <c r="D522" i="5"/>
  <c r="F522" i="5" a="1"/>
  <c r="F522" i="5" s="1"/>
  <c r="D544" i="5"/>
  <c r="F544" i="5" a="1"/>
  <c r="F544" i="5" s="1"/>
  <c r="D457" i="5"/>
  <c r="F457" i="5" a="1"/>
  <c r="F457" i="5" s="1"/>
  <c r="D479" i="5"/>
  <c r="F479" i="5" a="1"/>
  <c r="F479" i="5" s="1"/>
  <c r="D501" i="5"/>
  <c r="F501" i="5" a="1"/>
  <c r="F501" i="5" s="1"/>
  <c r="D523" i="5"/>
  <c r="F523" i="5" a="1"/>
  <c r="F523" i="5" s="1"/>
  <c r="D545" i="5"/>
  <c r="F545" i="5" a="1"/>
  <c r="F545" i="5" s="1"/>
  <c r="D566" i="5"/>
  <c r="F566" i="5" a="1"/>
  <c r="F566" i="5" s="1"/>
  <c r="D588" i="5"/>
  <c r="F588" i="5" a="1"/>
  <c r="F588" i="5" s="1"/>
  <c r="D610" i="5"/>
  <c r="F610" i="5" a="1"/>
  <c r="F610" i="5" s="1"/>
  <c r="D632" i="5"/>
  <c r="F632" i="5" a="1"/>
  <c r="F632" i="5" s="1"/>
  <c r="D654" i="5"/>
  <c r="F654" i="5" a="1"/>
  <c r="F654" i="5" s="1"/>
  <c r="D567" i="5"/>
  <c r="F567" i="5" a="1"/>
  <c r="F567" i="5" s="1"/>
  <c r="D589" i="5"/>
  <c r="F589" i="5" a="1"/>
  <c r="F589" i="5" s="1"/>
  <c r="D611" i="5"/>
  <c r="F611" i="5" a="1"/>
  <c r="F611" i="5" s="1"/>
  <c r="D633" i="5"/>
  <c r="F633" i="5" a="1"/>
  <c r="F633" i="5" s="1"/>
  <c r="D655" i="5"/>
  <c r="F655" i="5" a="1"/>
  <c r="F655" i="5" s="1"/>
  <c r="D676" i="5"/>
  <c r="F676" i="5" a="1"/>
  <c r="F676" i="5" s="1"/>
  <c r="D698" i="5"/>
  <c r="F698" i="5" a="1"/>
  <c r="F698" i="5" s="1"/>
  <c r="D720" i="5"/>
  <c r="F720" i="5" a="1"/>
  <c r="F720" i="5" s="1"/>
  <c r="D742" i="5"/>
  <c r="F742" i="5" a="1"/>
  <c r="F742" i="5" s="1"/>
  <c r="D764" i="5"/>
  <c r="F764" i="5" a="1"/>
  <c r="F764" i="5" s="1"/>
  <c r="D677" i="5"/>
  <c r="F677" i="5" a="1"/>
  <c r="F677" i="5" s="1"/>
  <c r="D699" i="5"/>
  <c r="F699" i="5" a="1"/>
  <c r="F699" i="5" s="1"/>
  <c r="D721" i="5"/>
  <c r="F721" i="5" a="1"/>
  <c r="F721" i="5" s="1"/>
  <c r="D743" i="5"/>
  <c r="F743" i="5" a="1"/>
  <c r="F743" i="5" s="1"/>
  <c r="D765" i="5"/>
  <c r="F765" i="5" a="1"/>
  <c r="F765" i="5" s="1"/>
  <c r="D8" i="5"/>
  <c r="F8" i="5" a="1"/>
  <c r="F8" i="5" s="1"/>
  <c r="D30" i="5"/>
  <c r="F30" i="5" a="1"/>
  <c r="F30" i="5" s="1"/>
  <c r="D52" i="5"/>
  <c r="F52" i="5" a="1"/>
  <c r="F52" i="5" s="1"/>
  <c r="D74" i="5"/>
  <c r="F74" i="5" a="1"/>
  <c r="F74" i="5" s="1"/>
  <c r="D96" i="5"/>
  <c r="F96" i="5" a="1"/>
  <c r="F96" i="5" s="1"/>
  <c r="D9" i="5"/>
  <c r="F9" i="5" a="1"/>
  <c r="F9" i="5" s="1"/>
  <c r="D31" i="5"/>
  <c r="F31" i="5" a="1"/>
  <c r="F31" i="5" s="1"/>
  <c r="D53" i="5"/>
  <c r="F53" i="5" a="1"/>
  <c r="F53" i="5" s="1"/>
  <c r="D75" i="5"/>
  <c r="F75" i="5" a="1"/>
  <c r="F75" i="5" s="1"/>
  <c r="D97" i="5"/>
  <c r="F97" i="5" a="1"/>
  <c r="F97" i="5" s="1"/>
  <c r="D118" i="5"/>
  <c r="F118" i="5" a="1"/>
  <c r="F118" i="5" s="1"/>
  <c r="D140" i="5"/>
  <c r="F140" i="5" a="1"/>
  <c r="F140" i="5" s="1"/>
  <c r="D162" i="5"/>
  <c r="F162" i="5" a="1"/>
  <c r="F162" i="5" s="1"/>
  <c r="D184" i="5"/>
  <c r="F184" i="5" a="1"/>
  <c r="F184" i="5" s="1"/>
  <c r="D206" i="5"/>
  <c r="F206" i="5" a="1"/>
  <c r="F206" i="5" s="1"/>
  <c r="D119" i="5"/>
  <c r="F119" i="5" a="1"/>
  <c r="F119" i="5" s="1"/>
  <c r="D141" i="5"/>
  <c r="F141" i="5" a="1"/>
  <c r="F141" i="5" s="1"/>
  <c r="D163" i="5"/>
  <c r="F163" i="5" a="1"/>
  <c r="F163" i="5" s="1"/>
  <c r="D185" i="5"/>
  <c r="F185" i="5" a="1"/>
  <c r="F185" i="5" s="1"/>
  <c r="D207" i="5"/>
  <c r="F207" i="5" a="1"/>
  <c r="F207" i="5" s="1"/>
  <c r="D228" i="5"/>
  <c r="F228" i="5" a="1"/>
  <c r="F228" i="5" s="1"/>
  <c r="D250" i="5"/>
  <c r="F250" i="5" a="1"/>
  <c r="F250" i="5" s="1"/>
  <c r="D272" i="5"/>
  <c r="F272" i="5" a="1"/>
  <c r="F272" i="5" s="1"/>
  <c r="D294" i="5"/>
  <c r="F294" i="5" a="1"/>
  <c r="F294" i="5" s="1"/>
  <c r="D316" i="5"/>
  <c r="F316" i="5" a="1"/>
  <c r="F316" i="5" s="1"/>
  <c r="D229" i="5"/>
  <c r="F229" i="5" a="1"/>
  <c r="F229" i="5" s="1"/>
  <c r="D251" i="5"/>
  <c r="F251" i="5" a="1"/>
  <c r="F251" i="5" s="1"/>
  <c r="D273" i="5"/>
  <c r="F273" i="5" a="1"/>
  <c r="F273" i="5" s="1"/>
  <c r="D295" i="5"/>
  <c r="F295" i="5" a="1"/>
  <c r="F295" i="5" s="1"/>
  <c r="D317" i="5"/>
  <c r="F317" i="5" a="1"/>
  <c r="F317" i="5" s="1"/>
  <c r="D338" i="5"/>
  <c r="F338" i="5" a="1"/>
  <c r="F338" i="5" s="1"/>
  <c r="D360" i="5"/>
  <c r="F360" i="5" a="1"/>
  <c r="F360" i="5" s="1"/>
  <c r="D382" i="5"/>
  <c r="F382" i="5" a="1"/>
  <c r="F382" i="5" s="1"/>
  <c r="D404" i="5"/>
  <c r="F404" i="5" a="1"/>
  <c r="F404" i="5" s="1"/>
  <c r="D426" i="5"/>
  <c r="F426" i="5" a="1"/>
  <c r="F426" i="5" s="1"/>
  <c r="D339" i="5"/>
  <c r="F339" i="5" a="1"/>
  <c r="F339" i="5" s="1"/>
  <c r="D361" i="5"/>
  <c r="F361" i="5" a="1"/>
  <c r="F361" i="5" s="1"/>
  <c r="D383" i="5"/>
  <c r="F383" i="5" a="1"/>
  <c r="F383" i="5" s="1"/>
  <c r="D405" i="5"/>
  <c r="F405" i="5" a="1"/>
  <c r="F405" i="5" s="1"/>
  <c r="D427" i="5"/>
  <c r="F427" i="5" a="1"/>
  <c r="F427" i="5" s="1"/>
  <c r="D448" i="5"/>
  <c r="F448" i="5" a="1"/>
  <c r="F448" i="5" s="1"/>
  <c r="D470" i="5"/>
  <c r="F470" i="5" a="1"/>
  <c r="F470" i="5" s="1"/>
  <c r="D492" i="5"/>
  <c r="F492" i="5" a="1"/>
  <c r="F492" i="5" s="1"/>
  <c r="D514" i="5"/>
  <c r="F514" i="5" a="1"/>
  <c r="F514" i="5" s="1"/>
  <c r="D536" i="5"/>
  <c r="F536" i="5" a="1"/>
  <c r="F536" i="5" s="1"/>
  <c r="D449" i="5"/>
  <c r="F449" i="5" a="1"/>
  <c r="F449" i="5" s="1"/>
  <c r="D471" i="5"/>
  <c r="F471" i="5" a="1"/>
  <c r="F471" i="5" s="1"/>
  <c r="D493" i="5"/>
  <c r="F493" i="5" a="1"/>
  <c r="F493" i="5" s="1"/>
  <c r="D515" i="5"/>
  <c r="F515" i="5" a="1"/>
  <c r="F515" i="5" s="1"/>
  <c r="D537" i="5"/>
  <c r="F537" i="5" a="1"/>
  <c r="F537" i="5" s="1"/>
  <c r="D558" i="5"/>
  <c r="F558" i="5" a="1"/>
  <c r="F558" i="5" s="1"/>
  <c r="D580" i="5"/>
  <c r="F580" i="5" a="1"/>
  <c r="F580" i="5" s="1"/>
  <c r="D602" i="5"/>
  <c r="F602" i="5" a="1"/>
  <c r="F602" i="5" s="1"/>
  <c r="D624" i="5"/>
  <c r="F624" i="5" a="1"/>
  <c r="F624" i="5" s="1"/>
  <c r="D646" i="5"/>
  <c r="F646" i="5" a="1"/>
  <c r="F646" i="5" s="1"/>
  <c r="D559" i="5"/>
  <c r="F559" i="5" a="1"/>
  <c r="F559" i="5" s="1"/>
  <c r="D581" i="5"/>
  <c r="F581" i="5" a="1"/>
  <c r="F581" i="5" s="1"/>
  <c r="D603" i="5"/>
  <c r="F603" i="5" a="1"/>
  <c r="F603" i="5" s="1"/>
  <c r="D625" i="5"/>
  <c r="F625" i="5" a="1"/>
  <c r="F625" i="5" s="1"/>
  <c r="D647" i="5"/>
  <c r="F647" i="5" a="1"/>
  <c r="F647" i="5" s="1"/>
  <c r="D668" i="5"/>
  <c r="F668" i="5" a="1"/>
  <c r="F668" i="5" s="1"/>
  <c r="D690" i="5"/>
  <c r="F690" i="5" a="1"/>
  <c r="F690" i="5" s="1"/>
  <c r="D712" i="5"/>
  <c r="F712" i="5" a="1"/>
  <c r="F712" i="5" s="1"/>
  <c r="D734" i="5"/>
  <c r="F734" i="5" a="1"/>
  <c r="F734" i="5" s="1"/>
  <c r="D756" i="5"/>
  <c r="F756" i="5" a="1"/>
  <c r="F756" i="5" s="1"/>
  <c r="D669" i="5"/>
  <c r="F669" i="5" a="1"/>
  <c r="F669" i="5" s="1"/>
  <c r="D691" i="5"/>
  <c r="F691" i="5" a="1"/>
  <c r="F691" i="5" s="1"/>
  <c r="D713" i="5"/>
  <c r="F713" i="5" a="1"/>
  <c r="F713" i="5" s="1"/>
  <c r="D735" i="5"/>
  <c r="F735" i="5" a="1"/>
  <c r="F735" i="5" s="1"/>
  <c r="D757" i="5"/>
  <c r="F757" i="5" a="1"/>
  <c r="F757" i="5" s="1"/>
  <c r="D12" i="5"/>
  <c r="F12" i="5" a="1"/>
  <c r="F12" i="5" s="1"/>
  <c r="D34" i="5"/>
  <c r="F34" i="5" a="1"/>
  <c r="F34" i="5" s="1"/>
  <c r="D56" i="5"/>
  <c r="F56" i="5" a="1"/>
  <c r="F56" i="5" s="1"/>
  <c r="D78" i="5"/>
  <c r="F78" i="5" a="1"/>
  <c r="F78" i="5" s="1"/>
  <c r="D100" i="5"/>
  <c r="F100" i="5" a="1"/>
  <c r="F100" i="5" s="1"/>
  <c r="D13" i="5"/>
  <c r="F13" i="5" a="1"/>
  <c r="F13" i="5" s="1"/>
  <c r="D35" i="5"/>
  <c r="F35" i="5" a="1"/>
  <c r="F35" i="5" s="1"/>
  <c r="D57" i="5"/>
  <c r="F57" i="5" a="1"/>
  <c r="F57" i="5" s="1"/>
  <c r="D79" i="5"/>
  <c r="F79" i="5" a="1"/>
  <c r="F79" i="5" s="1"/>
  <c r="D101" i="5"/>
  <c r="F101" i="5" a="1"/>
  <c r="F101" i="5" s="1"/>
  <c r="D122" i="5"/>
  <c r="F122" i="5" a="1"/>
  <c r="F122" i="5" s="1"/>
  <c r="D144" i="5"/>
  <c r="F144" i="5" a="1"/>
  <c r="F144" i="5" s="1"/>
  <c r="D166" i="5"/>
  <c r="F166" i="5" a="1"/>
  <c r="F166" i="5" s="1"/>
  <c r="D188" i="5"/>
  <c r="F188" i="5" a="1"/>
  <c r="F188" i="5" s="1"/>
  <c r="D210" i="5"/>
  <c r="F210" i="5" a="1"/>
  <c r="F210" i="5" s="1"/>
  <c r="D123" i="5"/>
  <c r="F123" i="5" a="1"/>
  <c r="F123" i="5" s="1"/>
  <c r="D145" i="5"/>
  <c r="F145" i="5" a="1"/>
  <c r="F145" i="5" s="1"/>
  <c r="D167" i="5"/>
  <c r="F167" i="5" a="1"/>
  <c r="F167" i="5" s="1"/>
  <c r="D189" i="5"/>
  <c r="F189" i="5" a="1"/>
  <c r="F189" i="5" s="1"/>
  <c r="D211" i="5"/>
  <c r="F211" i="5" a="1"/>
  <c r="F211" i="5" s="1"/>
  <c r="D232" i="5"/>
  <c r="F232" i="5" a="1"/>
  <c r="F232" i="5" s="1"/>
  <c r="D254" i="5"/>
  <c r="F254" i="5" a="1"/>
  <c r="F254" i="5" s="1"/>
  <c r="D276" i="5"/>
  <c r="F276" i="5" a="1"/>
  <c r="F276" i="5" s="1"/>
  <c r="D298" i="5"/>
  <c r="F298" i="5" a="1"/>
  <c r="F298" i="5" s="1"/>
  <c r="D320" i="5"/>
  <c r="F320" i="5" a="1"/>
  <c r="F320" i="5" s="1"/>
  <c r="D233" i="5"/>
  <c r="F233" i="5" a="1"/>
  <c r="F233" i="5" s="1"/>
  <c r="D255" i="5"/>
  <c r="F255" i="5" a="1"/>
  <c r="F255" i="5" s="1"/>
  <c r="D277" i="5"/>
  <c r="F277" i="5" a="1"/>
  <c r="F277" i="5" s="1"/>
  <c r="D299" i="5"/>
  <c r="F299" i="5" a="1"/>
  <c r="F299" i="5" s="1"/>
  <c r="D321" i="5"/>
  <c r="F321" i="5" a="1"/>
  <c r="F321" i="5" s="1"/>
  <c r="D342" i="5"/>
  <c r="F342" i="5" a="1"/>
  <c r="F342" i="5" s="1"/>
  <c r="D364" i="5"/>
  <c r="F364" i="5" a="1"/>
  <c r="F364" i="5" s="1"/>
  <c r="D386" i="5"/>
  <c r="F386" i="5" a="1"/>
  <c r="F386" i="5" s="1"/>
  <c r="D408" i="5"/>
  <c r="F408" i="5" a="1"/>
  <c r="F408" i="5" s="1"/>
  <c r="D430" i="5"/>
  <c r="F430" i="5" a="1"/>
  <c r="F430" i="5" s="1"/>
  <c r="D343" i="5"/>
  <c r="F343" i="5" a="1"/>
  <c r="F343" i="5" s="1"/>
  <c r="D365" i="5"/>
  <c r="F365" i="5" a="1"/>
  <c r="F365" i="5" s="1"/>
  <c r="D387" i="5"/>
  <c r="F387" i="5" a="1"/>
  <c r="F387" i="5" s="1"/>
  <c r="D409" i="5"/>
  <c r="F409" i="5" a="1"/>
  <c r="F409" i="5" s="1"/>
  <c r="D431" i="5"/>
  <c r="F431" i="5" a="1"/>
  <c r="F431" i="5" s="1"/>
  <c r="D452" i="5"/>
  <c r="F452" i="5" a="1"/>
  <c r="F452" i="5" s="1"/>
  <c r="D474" i="5"/>
  <c r="F474" i="5" a="1"/>
  <c r="F474" i="5" s="1"/>
  <c r="D496" i="5"/>
  <c r="F496" i="5" a="1"/>
  <c r="F496" i="5" s="1"/>
  <c r="D518" i="5"/>
  <c r="F518" i="5" a="1"/>
  <c r="F518" i="5" s="1"/>
  <c r="D540" i="5"/>
  <c r="F540" i="5" a="1"/>
  <c r="F540" i="5" s="1"/>
  <c r="D453" i="5"/>
  <c r="F453" i="5" a="1"/>
  <c r="F453" i="5" s="1"/>
  <c r="D475" i="5"/>
  <c r="F475" i="5" a="1"/>
  <c r="F475" i="5" s="1"/>
  <c r="D497" i="5"/>
  <c r="F497" i="5" a="1"/>
  <c r="F497" i="5" s="1"/>
  <c r="D519" i="5"/>
  <c r="F519" i="5" a="1"/>
  <c r="F519" i="5" s="1"/>
  <c r="D541" i="5"/>
  <c r="F541" i="5" a="1"/>
  <c r="F541" i="5" s="1"/>
  <c r="D562" i="5"/>
  <c r="F562" i="5" a="1"/>
  <c r="F562" i="5" s="1"/>
  <c r="D584" i="5"/>
  <c r="F584" i="5" a="1"/>
  <c r="F584" i="5" s="1"/>
  <c r="D606" i="5"/>
  <c r="F606" i="5" a="1"/>
  <c r="F606" i="5" s="1"/>
  <c r="D628" i="5"/>
  <c r="F628" i="5" a="1"/>
  <c r="F628" i="5" s="1"/>
  <c r="D650" i="5"/>
  <c r="F650" i="5" a="1"/>
  <c r="F650" i="5" s="1"/>
  <c r="D563" i="5"/>
  <c r="F563" i="5" a="1"/>
  <c r="F563" i="5" s="1"/>
  <c r="D585" i="5"/>
  <c r="F585" i="5" a="1"/>
  <c r="F585" i="5" s="1"/>
  <c r="D607" i="5"/>
  <c r="F607" i="5" a="1"/>
  <c r="F607" i="5" s="1"/>
  <c r="D629" i="5"/>
  <c r="F629" i="5" a="1"/>
  <c r="F629" i="5" s="1"/>
  <c r="D651" i="5"/>
  <c r="F651" i="5" a="1"/>
  <c r="F651" i="5" s="1"/>
  <c r="D672" i="5"/>
  <c r="F672" i="5" a="1"/>
  <c r="F672" i="5" s="1"/>
  <c r="D694" i="5"/>
  <c r="F694" i="5" a="1"/>
  <c r="F694" i="5" s="1"/>
  <c r="D716" i="5"/>
  <c r="F716" i="5" a="1"/>
  <c r="F716" i="5" s="1"/>
  <c r="D738" i="5"/>
  <c r="F738" i="5" a="1"/>
  <c r="F738" i="5" s="1"/>
  <c r="D760" i="5"/>
  <c r="F760" i="5" a="1"/>
  <c r="F760" i="5" s="1"/>
  <c r="D673" i="5"/>
  <c r="F673" i="5" a="1"/>
  <c r="F673" i="5" s="1"/>
  <c r="D695" i="5"/>
  <c r="F695" i="5" a="1"/>
  <c r="F695" i="5" s="1"/>
  <c r="D717" i="5"/>
  <c r="F717" i="5" a="1"/>
  <c r="F717" i="5" s="1"/>
  <c r="D739" i="5"/>
  <c r="F739" i="5" a="1"/>
  <c r="F739" i="5" s="1"/>
  <c r="D761" i="5"/>
  <c r="F761" i="5" a="1"/>
  <c r="F761" i="5" s="1"/>
  <c r="D18" i="5"/>
  <c r="F18" i="5" a="1"/>
  <c r="F18" i="5" s="1"/>
  <c r="D40" i="5"/>
  <c r="F40" i="5" a="1"/>
  <c r="F40" i="5" s="1"/>
  <c r="D62" i="5"/>
  <c r="F62" i="5" a="1"/>
  <c r="F62" i="5" s="1"/>
  <c r="D84" i="5"/>
  <c r="F84" i="5" a="1"/>
  <c r="F84" i="5" s="1"/>
  <c r="D106" i="5"/>
  <c r="F106" i="5" a="1"/>
  <c r="F106" i="5" s="1"/>
  <c r="D19" i="5"/>
  <c r="F19" i="5" a="1"/>
  <c r="F19" i="5" s="1"/>
  <c r="D41" i="5"/>
  <c r="F41" i="5" a="1"/>
  <c r="F41" i="5" s="1"/>
  <c r="D63" i="5"/>
  <c r="F63" i="5" a="1"/>
  <c r="F63" i="5" s="1"/>
  <c r="D85" i="5"/>
  <c r="F85" i="5" a="1"/>
  <c r="F85" i="5" s="1"/>
  <c r="D107" i="5"/>
  <c r="F107" i="5" a="1"/>
  <c r="F107" i="5" s="1"/>
  <c r="D128" i="5"/>
  <c r="F128" i="5" a="1"/>
  <c r="F128" i="5" s="1"/>
  <c r="D150" i="5"/>
  <c r="F150" i="5" a="1"/>
  <c r="F150" i="5" s="1"/>
  <c r="D172" i="5"/>
  <c r="F172" i="5" a="1"/>
  <c r="F172" i="5" s="1"/>
  <c r="D194" i="5"/>
  <c r="F194" i="5" a="1"/>
  <c r="F194" i="5" s="1"/>
  <c r="D216" i="5"/>
  <c r="F216" i="5" a="1"/>
  <c r="F216" i="5" s="1"/>
  <c r="D129" i="5"/>
  <c r="F129" i="5" a="1"/>
  <c r="F129" i="5" s="1"/>
  <c r="D151" i="5"/>
  <c r="F151" i="5" a="1"/>
  <c r="F151" i="5" s="1"/>
  <c r="D173" i="5"/>
  <c r="F173" i="5" a="1"/>
  <c r="F173" i="5" s="1"/>
  <c r="D195" i="5"/>
  <c r="F195" i="5" a="1"/>
  <c r="F195" i="5" s="1"/>
  <c r="D217" i="5"/>
  <c r="F217" i="5" a="1"/>
  <c r="F217" i="5" s="1"/>
  <c r="D238" i="5"/>
  <c r="F238" i="5" a="1"/>
  <c r="F238" i="5" s="1"/>
  <c r="D260" i="5"/>
  <c r="F260" i="5" a="1"/>
  <c r="F260" i="5" s="1"/>
  <c r="D282" i="5"/>
  <c r="F282" i="5" a="1"/>
  <c r="F282" i="5" s="1"/>
  <c r="D304" i="5"/>
  <c r="F304" i="5" a="1"/>
  <c r="F304" i="5" s="1"/>
  <c r="D326" i="5"/>
  <c r="F326" i="5" a="1"/>
  <c r="F326" i="5" s="1"/>
  <c r="D239" i="5"/>
  <c r="F239" i="5" a="1"/>
  <c r="F239" i="5" s="1"/>
  <c r="D261" i="5"/>
  <c r="F261" i="5" a="1"/>
  <c r="F261" i="5" s="1"/>
  <c r="D283" i="5"/>
  <c r="F283" i="5" a="1"/>
  <c r="F283" i="5" s="1"/>
  <c r="D305" i="5"/>
  <c r="F305" i="5" a="1"/>
  <c r="F305" i="5" s="1"/>
  <c r="D327" i="5"/>
  <c r="F327" i="5" a="1"/>
  <c r="F327" i="5" s="1"/>
  <c r="D348" i="5"/>
  <c r="F348" i="5" a="1"/>
  <c r="F348" i="5" s="1"/>
  <c r="D370" i="5"/>
  <c r="F370" i="5" a="1"/>
  <c r="F370" i="5" s="1"/>
  <c r="D392" i="5"/>
  <c r="F392" i="5" a="1"/>
  <c r="F392" i="5" s="1"/>
  <c r="D414" i="5"/>
  <c r="F414" i="5" a="1"/>
  <c r="F414" i="5" s="1"/>
  <c r="D436" i="5"/>
  <c r="F436" i="5" a="1"/>
  <c r="F436" i="5" s="1"/>
  <c r="D349" i="5"/>
  <c r="F349" i="5" a="1"/>
  <c r="F349" i="5" s="1"/>
  <c r="D371" i="5"/>
  <c r="F371" i="5" a="1"/>
  <c r="F371" i="5" s="1"/>
  <c r="D393" i="5"/>
  <c r="F393" i="5" a="1"/>
  <c r="F393" i="5" s="1"/>
  <c r="D415" i="5"/>
  <c r="F415" i="5" a="1"/>
  <c r="F415" i="5" s="1"/>
  <c r="D437" i="5"/>
  <c r="F437" i="5" a="1"/>
  <c r="F437" i="5" s="1"/>
  <c r="D458" i="5"/>
  <c r="F458" i="5" a="1"/>
  <c r="F458" i="5" s="1"/>
  <c r="D480" i="5"/>
  <c r="F480" i="5" a="1"/>
  <c r="F480" i="5" s="1"/>
  <c r="D502" i="5"/>
  <c r="F502" i="5" a="1"/>
  <c r="F502" i="5" s="1"/>
  <c r="D524" i="5"/>
  <c r="F524" i="5" a="1"/>
  <c r="F524" i="5" s="1"/>
  <c r="D546" i="5"/>
  <c r="F546" i="5" a="1"/>
  <c r="F546" i="5" s="1"/>
  <c r="D459" i="5"/>
  <c r="F459" i="5" a="1"/>
  <c r="F459" i="5" s="1"/>
  <c r="D481" i="5"/>
  <c r="F481" i="5" a="1"/>
  <c r="F481" i="5" s="1"/>
  <c r="D503" i="5"/>
  <c r="F503" i="5" a="1"/>
  <c r="F503" i="5" s="1"/>
  <c r="D525" i="5"/>
  <c r="F525" i="5" a="1"/>
  <c r="F525" i="5" s="1"/>
  <c r="D547" i="5"/>
  <c r="F547" i="5" a="1"/>
  <c r="F547" i="5" s="1"/>
  <c r="D568" i="5"/>
  <c r="F568" i="5" a="1"/>
  <c r="F568" i="5" s="1"/>
  <c r="D590" i="5"/>
  <c r="F590" i="5" a="1"/>
  <c r="F590" i="5" s="1"/>
  <c r="D612" i="5"/>
  <c r="F612" i="5" a="1"/>
  <c r="F612" i="5" s="1"/>
  <c r="D634" i="5"/>
  <c r="F634" i="5" a="1"/>
  <c r="F634" i="5" s="1"/>
  <c r="D656" i="5"/>
  <c r="F656" i="5" a="1"/>
  <c r="F656" i="5" s="1"/>
  <c r="D569" i="5"/>
  <c r="F569" i="5" a="1"/>
  <c r="F569" i="5" s="1"/>
  <c r="D591" i="5"/>
  <c r="F591" i="5" a="1"/>
  <c r="F591" i="5" s="1"/>
  <c r="D613" i="5"/>
  <c r="F613" i="5" a="1"/>
  <c r="F613" i="5" s="1"/>
  <c r="D635" i="5"/>
  <c r="F635" i="5" a="1"/>
  <c r="F635" i="5" s="1"/>
  <c r="D657" i="5"/>
  <c r="F657" i="5" a="1"/>
  <c r="F657" i="5" s="1"/>
  <c r="D678" i="5"/>
  <c r="F678" i="5" a="1"/>
  <c r="F678" i="5" s="1"/>
  <c r="D700" i="5"/>
  <c r="F700" i="5" a="1"/>
  <c r="F700" i="5" s="1"/>
  <c r="D722" i="5"/>
  <c r="F722" i="5" a="1"/>
  <c r="F722" i="5" s="1"/>
  <c r="D744" i="5"/>
  <c r="F744" i="5" a="1"/>
  <c r="F744" i="5" s="1"/>
  <c r="D766" i="5"/>
  <c r="F766" i="5" a="1"/>
  <c r="F766" i="5" s="1"/>
  <c r="D679" i="5"/>
  <c r="F679" i="5" a="1"/>
  <c r="F679" i="5" s="1"/>
  <c r="D701" i="5"/>
  <c r="F701" i="5" a="1"/>
  <c r="F701" i="5" s="1"/>
  <c r="D723" i="5"/>
  <c r="F723" i="5" a="1"/>
  <c r="F723" i="5" s="1"/>
  <c r="D745" i="5"/>
  <c r="F745" i="5" a="1"/>
  <c r="F745" i="5" s="1"/>
  <c r="D767" i="5"/>
  <c r="F767" i="5" a="1"/>
  <c r="F767" i="5" s="1"/>
  <c r="D22" i="5"/>
  <c r="F22" i="5" a="1"/>
  <c r="F22" i="5" s="1"/>
  <c r="F2" i="14"/>
  <c r="G2" i="44"/>
  <c r="G3" i="44"/>
  <c r="G4" i="44"/>
  <c r="G5" i="44"/>
  <c r="G6" i="44"/>
  <c r="G7" i="44"/>
  <c r="G8" i="44"/>
  <c r="G9" i="44"/>
  <c r="G10" i="44"/>
  <c r="G11" i="44"/>
  <c r="G12" i="44"/>
  <c r="G13" i="44"/>
  <c r="G14" i="44"/>
  <c r="G15" i="44"/>
  <c r="G16" i="44"/>
  <c r="E2" i="44"/>
  <c r="F2" i="44" s="1"/>
  <c r="E3" i="44"/>
  <c r="F3" i="44" s="1"/>
  <c r="E4" i="44"/>
  <c r="F4" i="44" s="1"/>
  <c r="E5" i="44"/>
  <c r="F5" i="44" s="1"/>
  <c r="E6" i="44"/>
  <c r="F6" i="44" s="1"/>
  <c r="E7" i="44"/>
  <c r="F7" i="44" s="1"/>
  <c r="E8" i="44"/>
  <c r="F8" i="44" s="1"/>
  <c r="E9" i="44"/>
  <c r="F9" i="44" s="1"/>
  <c r="E10" i="44"/>
  <c r="F10" i="44" s="1"/>
  <c r="E11" i="44"/>
  <c r="F11" i="44" s="1"/>
  <c r="E12" i="44"/>
  <c r="F12" i="44" s="1"/>
  <c r="E13" i="44"/>
  <c r="F13" i="44" s="1"/>
  <c r="E14" i="44"/>
  <c r="F14" i="44" s="1"/>
  <c r="E15" i="44"/>
  <c r="F15" i="44" s="1"/>
  <c r="E16" i="44"/>
  <c r="F16" i="44" s="1"/>
  <c r="D2" i="44"/>
  <c r="D3" i="44"/>
  <c r="D4" i="44"/>
  <c r="D5" i="44"/>
  <c r="D6" i="44"/>
  <c r="D7" i="44"/>
  <c r="D8" i="44"/>
  <c r="D9" i="44"/>
  <c r="D10" i="44"/>
  <c r="D11" i="44"/>
  <c r="D12" i="44"/>
  <c r="D13" i="44"/>
  <c r="D14" i="44"/>
  <c r="D15" i="44"/>
  <c r="D16" i="44"/>
  <c r="C2" i="44"/>
  <c r="C3" i="44"/>
  <c r="C4" i="44"/>
  <c r="C5" i="44"/>
  <c r="C6" i="44"/>
  <c r="C7" i="44"/>
  <c r="C8" i="44"/>
  <c r="C9" i="44"/>
  <c r="C10" i="44"/>
  <c r="C11" i="44"/>
  <c r="C12" i="44"/>
  <c r="C13" i="44"/>
  <c r="C14" i="44"/>
  <c r="C15" i="44"/>
  <c r="C16" i="44"/>
  <c r="B54" i="19"/>
  <c r="B55" i="19"/>
  <c r="B56" i="19"/>
  <c r="C54" i="19"/>
  <c r="C55" i="19"/>
  <c r="C56" i="19"/>
  <c r="E54" i="19"/>
  <c r="E55" i="19"/>
  <c r="E56" i="19"/>
  <c r="B51" i="19"/>
  <c r="B52" i="19"/>
  <c r="B53" i="19"/>
  <c r="C51" i="19"/>
  <c r="C52" i="19"/>
  <c r="C53" i="19"/>
  <c r="E51" i="19"/>
  <c r="E52" i="19"/>
  <c r="E53" i="19"/>
  <c r="B48" i="19"/>
  <c r="B49" i="19"/>
  <c r="B50" i="19"/>
  <c r="C48" i="19"/>
  <c r="C49" i="19"/>
  <c r="C50" i="19"/>
  <c r="E48" i="19"/>
  <c r="E49" i="19"/>
  <c r="E50" i="19"/>
  <c r="B46" i="19"/>
  <c r="B47" i="19"/>
  <c r="C46" i="19"/>
  <c r="C47" i="19"/>
  <c r="E46" i="19"/>
  <c r="E47" i="19"/>
  <c r="I2" i="14"/>
  <c r="B52" i="14"/>
  <c r="D52" i="19" s="1"/>
  <c r="F52" i="14"/>
  <c r="F52" i="19" s="1"/>
  <c r="G52" i="14"/>
  <c r="I52" i="14"/>
  <c r="O52" i="14"/>
  <c r="B36" i="14"/>
  <c r="F36" i="14"/>
  <c r="G36" i="14"/>
  <c r="I36" i="14"/>
  <c r="O36" i="14"/>
  <c r="D3" i="11"/>
  <c r="D4" i="11"/>
  <c r="D5" i="11"/>
  <c r="D6" i="11"/>
  <c r="D7" i="11"/>
  <c r="D8" i="11"/>
  <c r="E8" i="11" s="1"/>
  <c r="D2" i="11"/>
  <c r="B8" i="11"/>
  <c r="C8" i="11"/>
  <c r="F41" i="14"/>
  <c r="B56" i="14"/>
  <c r="D56" i="19" s="1"/>
  <c r="F56" i="14"/>
  <c r="F56" i="19" s="1"/>
  <c r="G56" i="14"/>
  <c r="I56" i="14"/>
  <c r="O56" i="14"/>
  <c r="B49" i="14"/>
  <c r="D49" i="19" s="1"/>
  <c r="F49" i="14"/>
  <c r="F49" i="19" s="1"/>
  <c r="G49" i="14"/>
  <c r="I49" i="14"/>
  <c r="O49" i="14"/>
  <c r="B33" i="14"/>
  <c r="F33" i="14"/>
  <c r="G33" i="14"/>
  <c r="I33" i="14"/>
  <c r="O33" i="14"/>
  <c r="B29" i="14"/>
  <c r="F29" i="14"/>
  <c r="G29" i="14"/>
  <c r="I29" i="14"/>
  <c r="O29" i="14"/>
  <c r="B46" i="14"/>
  <c r="D46" i="19" s="1"/>
  <c r="F46" i="14"/>
  <c r="F46" i="19" s="1"/>
  <c r="G46" i="14"/>
  <c r="I46" i="14"/>
  <c r="O46" i="14"/>
  <c r="G695" i="5" s="1" a="1"/>
  <c r="G695" i="5" s="1"/>
  <c r="B55" i="14"/>
  <c r="D55" i="19" s="1"/>
  <c r="F55" i="14"/>
  <c r="F55" i="19" s="1"/>
  <c r="G55" i="14"/>
  <c r="I55" i="14"/>
  <c r="O55" i="14"/>
  <c r="B38" i="14"/>
  <c r="F38" i="14"/>
  <c r="G38" i="14"/>
  <c r="I38" i="14"/>
  <c r="O38" i="14"/>
  <c r="B54" i="14"/>
  <c r="D54" i="19" s="1"/>
  <c r="F54" i="14"/>
  <c r="F54" i="19" s="1"/>
  <c r="G54" i="14"/>
  <c r="I54" i="14"/>
  <c r="O54" i="14"/>
  <c r="B34" i="14"/>
  <c r="F34" i="14"/>
  <c r="G34" i="14"/>
  <c r="I34" i="14"/>
  <c r="O34" i="14"/>
  <c r="D126" i="43"/>
  <c r="D127" i="43"/>
  <c r="D128" i="43"/>
  <c r="D129" i="43"/>
  <c r="D130" i="43"/>
  <c r="D131" i="43"/>
  <c r="D132" i="43"/>
  <c r="D133" i="43"/>
  <c r="D134" i="43"/>
  <c r="D135" i="43"/>
  <c r="D136" i="43"/>
  <c r="D137" i="43"/>
  <c r="D138" i="43"/>
  <c r="D139" i="43"/>
  <c r="D140" i="43"/>
  <c r="D141" i="43"/>
  <c r="D142" i="43"/>
  <c r="D143" i="43"/>
  <c r="D144" i="43"/>
  <c r="D145" i="43"/>
  <c r="D146" i="43"/>
  <c r="D147" i="43"/>
  <c r="D148" i="43"/>
  <c r="D149" i="43"/>
  <c r="D150" i="43"/>
  <c r="D151" i="43"/>
  <c r="D152" i="43"/>
  <c r="D153" i="43"/>
  <c r="D154" i="43"/>
  <c r="D155" i="43"/>
  <c r="D156" i="43"/>
  <c r="D157" i="43"/>
  <c r="D158" i="43"/>
  <c r="D159" i="43"/>
  <c r="D160" i="43"/>
  <c r="D161" i="43"/>
  <c r="D162" i="43"/>
  <c r="D163" i="43"/>
  <c r="D164" i="43"/>
  <c r="D165" i="43"/>
  <c r="D166" i="43"/>
  <c r="D167" i="43"/>
  <c r="D168" i="43"/>
  <c r="D169" i="43"/>
  <c r="D170" i="43"/>
  <c r="D171" i="43"/>
  <c r="D172" i="43"/>
  <c r="D173" i="43"/>
  <c r="D174" i="43"/>
  <c r="D175" i="43"/>
  <c r="D176" i="43"/>
  <c r="D177" i="43"/>
  <c r="D178" i="43"/>
  <c r="D179" i="43"/>
  <c r="D180" i="43"/>
  <c r="D181" i="43"/>
  <c r="D182" i="43"/>
  <c r="D183" i="43"/>
  <c r="D184" i="43"/>
  <c r="D185" i="43"/>
  <c r="D186" i="43"/>
  <c r="D187" i="43"/>
  <c r="D188" i="43"/>
  <c r="D189" i="43"/>
  <c r="D190" i="43"/>
  <c r="D191" i="43"/>
  <c r="D192" i="43"/>
  <c r="D193" i="43"/>
  <c r="D194" i="43"/>
  <c r="D195" i="43"/>
  <c r="D196" i="43"/>
  <c r="D197" i="43"/>
  <c r="D198" i="43"/>
  <c r="D199" i="43"/>
  <c r="D200" i="43"/>
  <c r="D201" i="43"/>
  <c r="D202" i="43"/>
  <c r="D203" i="43"/>
  <c r="D204" i="43"/>
  <c r="D205" i="43"/>
  <c r="D206" i="43"/>
  <c r="D207" i="43"/>
  <c r="D208" i="43"/>
  <c r="D209" i="43"/>
  <c r="D210" i="43"/>
  <c r="D211" i="43"/>
  <c r="D212" i="43"/>
  <c r="D213" i="43"/>
  <c r="D214" i="43"/>
  <c r="D215" i="43"/>
  <c r="D216" i="43"/>
  <c r="D217" i="43"/>
  <c r="D218" i="43"/>
  <c r="D219" i="43"/>
  <c r="D220" i="43"/>
  <c r="D221" i="43"/>
  <c r="D222" i="43"/>
  <c r="D223" i="43"/>
  <c r="D224" i="43"/>
  <c r="D225" i="43"/>
  <c r="D226" i="43"/>
  <c r="D227" i="43"/>
  <c r="D228" i="43"/>
  <c r="D229" i="43"/>
  <c r="D230" i="43"/>
  <c r="D231" i="43"/>
  <c r="D232" i="43"/>
  <c r="D233" i="43"/>
  <c r="D234" i="43"/>
  <c r="D235" i="43"/>
  <c r="D236" i="43"/>
  <c r="D237" i="43"/>
  <c r="D238" i="43"/>
  <c r="D239" i="43"/>
  <c r="D240" i="43"/>
  <c r="D241" i="43"/>
  <c r="D242" i="43"/>
  <c r="D243" i="43"/>
  <c r="D244" i="43"/>
  <c r="D245" i="43"/>
  <c r="D246" i="43"/>
  <c r="D247" i="43"/>
  <c r="D248" i="43"/>
  <c r="D249" i="43"/>
  <c r="D250" i="43"/>
  <c r="D251" i="43"/>
  <c r="D252" i="43"/>
  <c r="D253" i="43"/>
  <c r="D254" i="43"/>
  <c r="D255" i="43"/>
  <c r="D256" i="43"/>
  <c r="D257" i="43"/>
  <c r="D258" i="43"/>
  <c r="D259" i="43"/>
  <c r="D260" i="43"/>
  <c r="D261" i="43"/>
  <c r="D262" i="43"/>
  <c r="D263" i="43"/>
  <c r="D264" i="43"/>
  <c r="D265" i="43"/>
  <c r="D266" i="43"/>
  <c r="D267" i="43"/>
  <c r="D268" i="43"/>
  <c r="D269" i="43"/>
  <c r="D270" i="43"/>
  <c r="D271" i="43"/>
  <c r="D272" i="43"/>
  <c r="D273" i="43"/>
  <c r="D274" i="43"/>
  <c r="D275" i="43"/>
  <c r="D276" i="43"/>
  <c r="D277" i="43"/>
  <c r="D278" i="43"/>
  <c r="D279" i="43"/>
  <c r="D280" i="43"/>
  <c r="D281" i="43"/>
  <c r="D282" i="43"/>
  <c r="D283" i="43"/>
  <c r="D284" i="43"/>
  <c r="D285" i="43"/>
  <c r="D286" i="43"/>
  <c r="D287" i="43"/>
  <c r="D288" i="43"/>
  <c r="D289" i="43"/>
  <c r="D290" i="43"/>
  <c r="D291" i="43"/>
  <c r="D292" i="43"/>
  <c r="D293" i="43"/>
  <c r="D294" i="43"/>
  <c r="D295" i="43"/>
  <c r="D296" i="43"/>
  <c r="D297" i="43"/>
  <c r="D298" i="43"/>
  <c r="D299" i="43"/>
  <c r="D300" i="43"/>
  <c r="D301" i="43"/>
  <c r="D302" i="43"/>
  <c r="D303" i="43"/>
  <c r="D304" i="43"/>
  <c r="D305" i="43"/>
  <c r="D306" i="43"/>
  <c r="D307" i="43"/>
  <c r="D308" i="43"/>
  <c r="D309" i="43"/>
  <c r="D310" i="43"/>
  <c r="D311" i="43"/>
  <c r="D312" i="43"/>
  <c r="D313" i="43"/>
  <c r="D314" i="43"/>
  <c r="D315" i="43"/>
  <c r="D316" i="43"/>
  <c r="D317" i="43"/>
  <c r="D318" i="43"/>
  <c r="D319" i="43"/>
  <c r="D320" i="43"/>
  <c r="D321" i="43"/>
  <c r="D322" i="43"/>
  <c r="D323" i="43"/>
  <c r="D324" i="43"/>
  <c r="D325" i="43"/>
  <c r="D326" i="43"/>
  <c r="D327" i="43"/>
  <c r="D328" i="43"/>
  <c r="D329" i="43"/>
  <c r="D330" i="43"/>
  <c r="D331" i="43"/>
  <c r="D332" i="43"/>
  <c r="D333" i="43"/>
  <c r="D334" i="43"/>
  <c r="D335" i="43"/>
  <c r="D336" i="43"/>
  <c r="D337" i="43"/>
  <c r="D338" i="43"/>
  <c r="D339" i="43"/>
  <c r="D340" i="43"/>
  <c r="D341" i="43"/>
  <c r="D342" i="43"/>
  <c r="D343" i="43"/>
  <c r="D344" i="43"/>
  <c r="D345" i="43"/>
  <c r="D346" i="43"/>
  <c r="D347" i="43"/>
  <c r="D348" i="43"/>
  <c r="D349" i="43"/>
  <c r="D350" i="43"/>
  <c r="D351" i="43"/>
  <c r="D352" i="43"/>
  <c r="D353" i="43"/>
  <c r="D354" i="43"/>
  <c r="D355" i="43"/>
  <c r="D356" i="43"/>
  <c r="D357" i="43"/>
  <c r="D358" i="43"/>
  <c r="D359" i="43"/>
  <c r="D360" i="43"/>
  <c r="D361" i="43"/>
  <c r="D362" i="43"/>
  <c r="D363" i="43"/>
  <c r="D364" i="43"/>
  <c r="D365" i="43"/>
  <c r="D366" i="43"/>
  <c r="D2" i="43"/>
  <c r="D3" i="43"/>
  <c r="D4" i="43"/>
  <c r="D5" i="43"/>
  <c r="D6" i="43"/>
  <c r="D7" i="43"/>
  <c r="D8" i="43"/>
  <c r="D9" i="43"/>
  <c r="D10" i="43"/>
  <c r="D11" i="43"/>
  <c r="D12" i="43"/>
  <c r="D13" i="43"/>
  <c r="D14" i="43"/>
  <c r="D15" i="43"/>
  <c r="D16" i="43"/>
  <c r="D17" i="43"/>
  <c r="D18" i="43"/>
  <c r="D19" i="43"/>
  <c r="D20" i="43"/>
  <c r="D21" i="43"/>
  <c r="D22" i="43"/>
  <c r="D23" i="43"/>
  <c r="D24" i="43"/>
  <c r="D25" i="43"/>
  <c r="D26" i="43"/>
  <c r="D27" i="43"/>
  <c r="D28" i="43"/>
  <c r="D29" i="43"/>
  <c r="D30" i="43"/>
  <c r="D31" i="43"/>
  <c r="D32" i="43"/>
  <c r="D33" i="43"/>
  <c r="D34" i="43"/>
  <c r="D35" i="43"/>
  <c r="D36" i="43"/>
  <c r="D37" i="43"/>
  <c r="D38" i="43"/>
  <c r="D39" i="43"/>
  <c r="D40" i="43"/>
  <c r="D41" i="43"/>
  <c r="D42" i="43"/>
  <c r="D43" i="43"/>
  <c r="D44" i="43"/>
  <c r="D45" i="43"/>
  <c r="D46" i="43"/>
  <c r="D47" i="43"/>
  <c r="D48" i="43"/>
  <c r="D49" i="43"/>
  <c r="D50" i="43"/>
  <c r="D51" i="43"/>
  <c r="D52" i="43"/>
  <c r="D53" i="43"/>
  <c r="D54" i="43"/>
  <c r="D55" i="43"/>
  <c r="D56" i="43"/>
  <c r="D57" i="43"/>
  <c r="D58" i="43"/>
  <c r="D59" i="43"/>
  <c r="D60" i="43"/>
  <c r="D61" i="43"/>
  <c r="D62" i="43"/>
  <c r="D63" i="43"/>
  <c r="D64" i="43"/>
  <c r="D65" i="43"/>
  <c r="D66" i="43"/>
  <c r="D67" i="43"/>
  <c r="D68" i="43"/>
  <c r="D69" i="43"/>
  <c r="D70" i="43"/>
  <c r="D71" i="43"/>
  <c r="D72" i="43"/>
  <c r="D73" i="43"/>
  <c r="D74" i="43"/>
  <c r="D75" i="43"/>
  <c r="D76" i="43"/>
  <c r="D77" i="43"/>
  <c r="D78" i="43"/>
  <c r="D79" i="43"/>
  <c r="D80" i="43"/>
  <c r="D81" i="43"/>
  <c r="D82" i="43"/>
  <c r="D83" i="43"/>
  <c r="D84" i="43"/>
  <c r="D85" i="43"/>
  <c r="D86" i="43"/>
  <c r="D87" i="43"/>
  <c r="D88" i="43"/>
  <c r="D89" i="43"/>
  <c r="D90" i="43"/>
  <c r="D91" i="43"/>
  <c r="D92" i="43"/>
  <c r="D93" i="43"/>
  <c r="D94" i="43"/>
  <c r="D95" i="43"/>
  <c r="D96" i="43"/>
  <c r="D97" i="43"/>
  <c r="D98" i="43"/>
  <c r="D99" i="43"/>
  <c r="D100" i="43"/>
  <c r="D101" i="43"/>
  <c r="D102" i="43"/>
  <c r="D103" i="43"/>
  <c r="D104" i="43"/>
  <c r="D105" i="43"/>
  <c r="D106" i="43"/>
  <c r="D107" i="43"/>
  <c r="D108" i="43"/>
  <c r="D109" i="43"/>
  <c r="D110" i="43"/>
  <c r="D111" i="43"/>
  <c r="D112" i="43"/>
  <c r="D113" i="43"/>
  <c r="D114" i="43"/>
  <c r="D115" i="43"/>
  <c r="D116" i="43"/>
  <c r="D117" i="43"/>
  <c r="D118" i="43"/>
  <c r="D119" i="43"/>
  <c r="D120" i="43"/>
  <c r="D121" i="43"/>
  <c r="D122" i="43"/>
  <c r="D123" i="43"/>
  <c r="D124" i="43"/>
  <c r="D125" i="43"/>
  <c r="C2" i="43"/>
  <c r="C3" i="43"/>
  <c r="C4" i="43"/>
  <c r="C5" i="43"/>
  <c r="C6" i="43"/>
  <c r="C7" i="43"/>
  <c r="C8" i="43"/>
  <c r="C9" i="43"/>
  <c r="C10" i="43"/>
  <c r="C11" i="43"/>
  <c r="C12" i="43"/>
  <c r="C13" i="43"/>
  <c r="C14" i="43"/>
  <c r="C15" i="43"/>
  <c r="C16" i="43"/>
  <c r="C17" i="43"/>
  <c r="C18" i="43"/>
  <c r="C19" i="43"/>
  <c r="C20" i="43"/>
  <c r="C21" i="43"/>
  <c r="C22" i="43"/>
  <c r="C23" i="43"/>
  <c r="C24" i="43"/>
  <c r="C25" i="43"/>
  <c r="C26" i="43"/>
  <c r="C27" i="43"/>
  <c r="C28" i="43"/>
  <c r="C29" i="43"/>
  <c r="C30" i="43"/>
  <c r="C31" i="43"/>
  <c r="C32" i="43"/>
  <c r="C33" i="43"/>
  <c r="C34" i="43"/>
  <c r="C35" i="43"/>
  <c r="C36" i="43"/>
  <c r="C37" i="43"/>
  <c r="C38" i="43"/>
  <c r="C39" i="43"/>
  <c r="C40" i="43"/>
  <c r="C41" i="43"/>
  <c r="C42" i="43"/>
  <c r="C43" i="43"/>
  <c r="C44" i="43"/>
  <c r="C45" i="43"/>
  <c r="C46" i="43"/>
  <c r="C47" i="43"/>
  <c r="C48" i="43"/>
  <c r="C49" i="43"/>
  <c r="C50" i="43"/>
  <c r="C51" i="43"/>
  <c r="C52" i="43"/>
  <c r="C53" i="43"/>
  <c r="C54" i="43"/>
  <c r="C55" i="43"/>
  <c r="C56" i="43"/>
  <c r="C57" i="43"/>
  <c r="C58" i="43"/>
  <c r="C59" i="43"/>
  <c r="C60" i="43"/>
  <c r="C61" i="43"/>
  <c r="C62" i="43"/>
  <c r="C63" i="43"/>
  <c r="C64" i="43"/>
  <c r="C65" i="43"/>
  <c r="C66" i="43"/>
  <c r="C67" i="43"/>
  <c r="C68" i="43"/>
  <c r="C69" i="43"/>
  <c r="C70" i="43"/>
  <c r="C71" i="43"/>
  <c r="C72" i="43"/>
  <c r="C73" i="43"/>
  <c r="C74" i="43"/>
  <c r="C75" i="43"/>
  <c r="C76" i="43"/>
  <c r="C77" i="43"/>
  <c r="C78" i="43"/>
  <c r="C79" i="43"/>
  <c r="C80" i="43"/>
  <c r="C81" i="43"/>
  <c r="C82" i="43"/>
  <c r="C83" i="43"/>
  <c r="C84" i="43"/>
  <c r="C85" i="43"/>
  <c r="C86" i="43"/>
  <c r="C87" i="43"/>
  <c r="C88" i="43"/>
  <c r="C89" i="43"/>
  <c r="C90" i="43"/>
  <c r="C91" i="43"/>
  <c r="C92" i="43"/>
  <c r="C93" i="43"/>
  <c r="C94" i="43"/>
  <c r="C95" i="43"/>
  <c r="C96" i="43"/>
  <c r="C97" i="43"/>
  <c r="C98" i="43"/>
  <c r="C99" i="43"/>
  <c r="C100" i="43"/>
  <c r="C101" i="43"/>
  <c r="C102" i="43"/>
  <c r="C103" i="43"/>
  <c r="C104" i="43"/>
  <c r="C105" i="43"/>
  <c r="C106" i="43"/>
  <c r="C107" i="43"/>
  <c r="C108" i="43"/>
  <c r="C109" i="43"/>
  <c r="C110" i="43"/>
  <c r="C111" i="43"/>
  <c r="C112" i="43"/>
  <c r="C113" i="43"/>
  <c r="C114" i="43"/>
  <c r="C115" i="43"/>
  <c r="C116" i="43"/>
  <c r="C117" i="43"/>
  <c r="C118" i="43"/>
  <c r="C119" i="43"/>
  <c r="C120" i="43"/>
  <c r="C121" i="43"/>
  <c r="C122" i="43"/>
  <c r="C123" i="43"/>
  <c r="C124" i="43"/>
  <c r="C125" i="43"/>
  <c r="C126" i="43"/>
  <c r="C127" i="43"/>
  <c r="C128" i="43"/>
  <c r="C129" i="43"/>
  <c r="C130" i="43"/>
  <c r="C131" i="43"/>
  <c r="C132" i="43"/>
  <c r="C133" i="43"/>
  <c r="C134" i="43"/>
  <c r="C135" i="43"/>
  <c r="C136" i="43"/>
  <c r="C137" i="43"/>
  <c r="C138" i="43"/>
  <c r="C139" i="43"/>
  <c r="C140" i="43"/>
  <c r="C141" i="43"/>
  <c r="C142" i="43"/>
  <c r="C143" i="43"/>
  <c r="C144" i="43"/>
  <c r="C145" i="43"/>
  <c r="C146" i="43"/>
  <c r="C147" i="43"/>
  <c r="C148" i="43"/>
  <c r="C149" i="43"/>
  <c r="C150" i="43"/>
  <c r="C151" i="43"/>
  <c r="C152" i="43"/>
  <c r="C153" i="43"/>
  <c r="C154" i="43"/>
  <c r="C155" i="43"/>
  <c r="C156" i="43"/>
  <c r="C157" i="43"/>
  <c r="C158" i="43"/>
  <c r="C159" i="43"/>
  <c r="C160" i="43"/>
  <c r="C161" i="43"/>
  <c r="C162" i="43"/>
  <c r="C163" i="43"/>
  <c r="C164" i="43"/>
  <c r="C165" i="43"/>
  <c r="C166" i="43"/>
  <c r="C167" i="43"/>
  <c r="C168" i="43"/>
  <c r="C169" i="43"/>
  <c r="C170" i="43"/>
  <c r="C171" i="43"/>
  <c r="C172" i="43"/>
  <c r="C173" i="43"/>
  <c r="C174" i="43"/>
  <c r="C175" i="43"/>
  <c r="C176" i="43"/>
  <c r="C177" i="43"/>
  <c r="C178" i="43"/>
  <c r="C179" i="43"/>
  <c r="C180" i="43"/>
  <c r="C181" i="43"/>
  <c r="C182" i="43"/>
  <c r="C183" i="43"/>
  <c r="C184" i="43"/>
  <c r="C185" i="43"/>
  <c r="C186" i="43"/>
  <c r="C187" i="43"/>
  <c r="C188" i="43"/>
  <c r="C189" i="43"/>
  <c r="C190" i="43"/>
  <c r="C191" i="43"/>
  <c r="C192" i="43"/>
  <c r="C193" i="43"/>
  <c r="C194" i="43"/>
  <c r="C195" i="43"/>
  <c r="C196" i="43"/>
  <c r="C197" i="43"/>
  <c r="C198" i="43"/>
  <c r="C199" i="43"/>
  <c r="C200" i="43"/>
  <c r="C201" i="43"/>
  <c r="C202" i="43"/>
  <c r="C203" i="43"/>
  <c r="C204" i="43"/>
  <c r="C205" i="43"/>
  <c r="C206" i="43"/>
  <c r="C207" i="43"/>
  <c r="C208" i="43"/>
  <c r="C209" i="43"/>
  <c r="C210" i="43"/>
  <c r="C211" i="43"/>
  <c r="C212" i="43"/>
  <c r="C213" i="43"/>
  <c r="C214" i="43"/>
  <c r="C215" i="43"/>
  <c r="C216" i="43"/>
  <c r="C217" i="43"/>
  <c r="C218" i="43"/>
  <c r="C219" i="43"/>
  <c r="C220" i="43"/>
  <c r="C221" i="43"/>
  <c r="C222" i="43"/>
  <c r="C223" i="43"/>
  <c r="C224" i="43"/>
  <c r="C225" i="43"/>
  <c r="C226" i="43"/>
  <c r="C227" i="43"/>
  <c r="C228" i="43"/>
  <c r="C229" i="43"/>
  <c r="C230" i="43"/>
  <c r="C231" i="43"/>
  <c r="C232" i="43"/>
  <c r="C233" i="43"/>
  <c r="C234" i="43"/>
  <c r="C235" i="43"/>
  <c r="C236" i="43"/>
  <c r="C237" i="43"/>
  <c r="C238" i="43"/>
  <c r="C239" i="43"/>
  <c r="C240" i="43"/>
  <c r="C241" i="43"/>
  <c r="C242" i="43"/>
  <c r="C243" i="43"/>
  <c r="C244" i="43"/>
  <c r="C245" i="43"/>
  <c r="C246" i="43"/>
  <c r="C247" i="43"/>
  <c r="C248" i="43"/>
  <c r="C249" i="43"/>
  <c r="C250" i="43"/>
  <c r="C251" i="43"/>
  <c r="C252" i="43"/>
  <c r="C253" i="43"/>
  <c r="C254" i="43"/>
  <c r="C255" i="43"/>
  <c r="C256" i="43"/>
  <c r="C257" i="43"/>
  <c r="C258" i="43"/>
  <c r="C259" i="43"/>
  <c r="C260" i="43"/>
  <c r="C261" i="43"/>
  <c r="C262" i="43"/>
  <c r="C263" i="43"/>
  <c r="C264" i="43"/>
  <c r="C265" i="43"/>
  <c r="C266" i="43"/>
  <c r="C267" i="43"/>
  <c r="C268" i="43"/>
  <c r="C269" i="43"/>
  <c r="C270" i="43"/>
  <c r="C271" i="43"/>
  <c r="C272" i="43"/>
  <c r="C273" i="43"/>
  <c r="C274" i="43"/>
  <c r="C275" i="43"/>
  <c r="C276" i="43"/>
  <c r="C277" i="43"/>
  <c r="C278" i="43"/>
  <c r="C279" i="43"/>
  <c r="C280" i="43"/>
  <c r="C281" i="43"/>
  <c r="C282" i="43"/>
  <c r="C283" i="43"/>
  <c r="C284" i="43"/>
  <c r="C285" i="43"/>
  <c r="C286" i="43"/>
  <c r="C287" i="43"/>
  <c r="C288" i="43"/>
  <c r="C289" i="43"/>
  <c r="C290" i="43"/>
  <c r="C291" i="43"/>
  <c r="C292" i="43"/>
  <c r="C293" i="43"/>
  <c r="C294" i="43"/>
  <c r="C295" i="43"/>
  <c r="C296" i="43"/>
  <c r="C297" i="43"/>
  <c r="C298" i="43"/>
  <c r="C299" i="43"/>
  <c r="C300" i="43"/>
  <c r="C301" i="43"/>
  <c r="C302" i="43"/>
  <c r="C303" i="43"/>
  <c r="C304" i="43"/>
  <c r="C305" i="43"/>
  <c r="C306" i="43"/>
  <c r="C307" i="43"/>
  <c r="C308" i="43"/>
  <c r="C309" i="43"/>
  <c r="C310" i="43"/>
  <c r="C311" i="43"/>
  <c r="C312" i="43"/>
  <c r="C313" i="43"/>
  <c r="C314" i="43"/>
  <c r="C315" i="43"/>
  <c r="C316" i="43"/>
  <c r="C317" i="43"/>
  <c r="C318" i="43"/>
  <c r="C319" i="43"/>
  <c r="C320" i="43"/>
  <c r="C321" i="43"/>
  <c r="C322" i="43"/>
  <c r="C323" i="43"/>
  <c r="C324" i="43"/>
  <c r="C325" i="43"/>
  <c r="C326" i="43"/>
  <c r="C327" i="43"/>
  <c r="C328" i="43"/>
  <c r="C329" i="43"/>
  <c r="C330" i="43"/>
  <c r="C331" i="43"/>
  <c r="C332" i="43"/>
  <c r="C333" i="43"/>
  <c r="C334" i="43"/>
  <c r="C335" i="43"/>
  <c r="C336" i="43"/>
  <c r="C337" i="43"/>
  <c r="C338" i="43"/>
  <c r="C339" i="43"/>
  <c r="C340" i="43"/>
  <c r="C341" i="43"/>
  <c r="C342" i="43"/>
  <c r="C343" i="43"/>
  <c r="C344" i="43"/>
  <c r="C345" i="43"/>
  <c r="C346" i="43"/>
  <c r="C347" i="43"/>
  <c r="C348" i="43"/>
  <c r="C349" i="43"/>
  <c r="C350" i="43"/>
  <c r="C351" i="43"/>
  <c r="C352" i="43"/>
  <c r="C353" i="43"/>
  <c r="C354" i="43"/>
  <c r="C355" i="43"/>
  <c r="C356" i="43"/>
  <c r="C357" i="43"/>
  <c r="C358" i="43"/>
  <c r="C359" i="43"/>
  <c r="C360" i="43"/>
  <c r="C361" i="43"/>
  <c r="C362" i="43"/>
  <c r="C363" i="43"/>
  <c r="C364" i="43"/>
  <c r="C365" i="43"/>
  <c r="C366" i="43"/>
  <c r="B2" i="43"/>
  <c r="B3" i="43"/>
  <c r="B4" i="43"/>
  <c r="B5" i="43"/>
  <c r="B6" i="43"/>
  <c r="B7" i="43"/>
  <c r="B8" i="43"/>
  <c r="B9" i="43"/>
  <c r="B10" i="43"/>
  <c r="B11" i="43"/>
  <c r="B12" i="43"/>
  <c r="B13" i="43"/>
  <c r="B14" i="43"/>
  <c r="B15" i="43"/>
  <c r="B16" i="43"/>
  <c r="B17" i="43"/>
  <c r="B18" i="43"/>
  <c r="B19" i="43"/>
  <c r="B20" i="43"/>
  <c r="B21" i="43"/>
  <c r="B22" i="43"/>
  <c r="B23" i="43"/>
  <c r="B24" i="43"/>
  <c r="B25" i="43"/>
  <c r="B26" i="43"/>
  <c r="B27" i="43"/>
  <c r="B28" i="43"/>
  <c r="B29" i="43"/>
  <c r="B30" i="43"/>
  <c r="B31" i="43"/>
  <c r="B32" i="43"/>
  <c r="B33" i="43"/>
  <c r="B34" i="43"/>
  <c r="B35" i="43"/>
  <c r="B36" i="43"/>
  <c r="B37" i="43"/>
  <c r="B38" i="43"/>
  <c r="B39" i="43"/>
  <c r="B40" i="43"/>
  <c r="B41" i="43"/>
  <c r="B42" i="43"/>
  <c r="B43" i="43"/>
  <c r="B44" i="43"/>
  <c r="B45" i="43"/>
  <c r="B46" i="43"/>
  <c r="B47" i="43"/>
  <c r="B48" i="43"/>
  <c r="B49" i="43"/>
  <c r="B50" i="43"/>
  <c r="B51" i="43"/>
  <c r="B52" i="43"/>
  <c r="B53" i="43"/>
  <c r="B54" i="43"/>
  <c r="B55" i="43"/>
  <c r="B56" i="43"/>
  <c r="B57" i="43"/>
  <c r="B58" i="43"/>
  <c r="B59" i="43"/>
  <c r="B60" i="43"/>
  <c r="B61" i="43"/>
  <c r="B62" i="43"/>
  <c r="B63" i="43"/>
  <c r="B64" i="43"/>
  <c r="B65" i="43"/>
  <c r="B66" i="43"/>
  <c r="B67" i="43"/>
  <c r="B68" i="43"/>
  <c r="B69" i="43"/>
  <c r="B70" i="43"/>
  <c r="B71" i="43"/>
  <c r="B72" i="43"/>
  <c r="B73" i="43"/>
  <c r="B74" i="43"/>
  <c r="B75" i="43"/>
  <c r="B76" i="43"/>
  <c r="B77" i="43"/>
  <c r="B78" i="43"/>
  <c r="B79" i="43"/>
  <c r="B80" i="43"/>
  <c r="B81" i="43"/>
  <c r="B82" i="43"/>
  <c r="B83" i="43"/>
  <c r="B84" i="43"/>
  <c r="B85" i="43"/>
  <c r="B86" i="43"/>
  <c r="B87" i="43"/>
  <c r="B88" i="43"/>
  <c r="B89" i="43"/>
  <c r="B90" i="43"/>
  <c r="B91" i="43"/>
  <c r="B92" i="43"/>
  <c r="B93" i="43"/>
  <c r="B94" i="43"/>
  <c r="B95" i="43"/>
  <c r="B96" i="43"/>
  <c r="B97" i="43"/>
  <c r="B98" i="43"/>
  <c r="B99" i="43"/>
  <c r="B100" i="43"/>
  <c r="B101" i="43"/>
  <c r="B102" i="43"/>
  <c r="B103" i="43"/>
  <c r="B104" i="43"/>
  <c r="B105" i="43"/>
  <c r="B106" i="43"/>
  <c r="B107" i="43"/>
  <c r="B108" i="43"/>
  <c r="B109" i="43"/>
  <c r="B110" i="43"/>
  <c r="B111" i="43"/>
  <c r="B112" i="43"/>
  <c r="B113" i="43"/>
  <c r="B114" i="43"/>
  <c r="B115" i="43"/>
  <c r="B116" i="43"/>
  <c r="B117" i="43"/>
  <c r="B118" i="43"/>
  <c r="B119" i="43"/>
  <c r="B120" i="43"/>
  <c r="B121" i="43"/>
  <c r="B122" i="43"/>
  <c r="B123" i="43"/>
  <c r="B124" i="43"/>
  <c r="B125" i="43"/>
  <c r="B126" i="43"/>
  <c r="B127" i="43"/>
  <c r="B128" i="43"/>
  <c r="B129" i="43"/>
  <c r="B130" i="43"/>
  <c r="B131" i="43"/>
  <c r="B132" i="43"/>
  <c r="B133" i="43"/>
  <c r="B134" i="43"/>
  <c r="B135" i="43"/>
  <c r="B136" i="43"/>
  <c r="B137" i="43"/>
  <c r="B138" i="43"/>
  <c r="B139" i="43"/>
  <c r="B140" i="43"/>
  <c r="B141" i="43"/>
  <c r="B142" i="43"/>
  <c r="B143" i="43"/>
  <c r="B144" i="43"/>
  <c r="B145" i="43"/>
  <c r="B146" i="43"/>
  <c r="B147" i="43"/>
  <c r="B148" i="43"/>
  <c r="B149" i="43"/>
  <c r="B150" i="43"/>
  <c r="B151" i="43"/>
  <c r="B152" i="43"/>
  <c r="B153" i="43"/>
  <c r="B154" i="43"/>
  <c r="B155" i="43"/>
  <c r="B156" i="43"/>
  <c r="B157" i="43"/>
  <c r="B158" i="43"/>
  <c r="B159" i="43"/>
  <c r="B160" i="43"/>
  <c r="B161" i="43"/>
  <c r="B162" i="43"/>
  <c r="B163" i="43"/>
  <c r="B164" i="43"/>
  <c r="B165" i="43"/>
  <c r="B166" i="43"/>
  <c r="B167" i="43"/>
  <c r="B168" i="43"/>
  <c r="B169" i="43"/>
  <c r="B170" i="43"/>
  <c r="B171" i="43"/>
  <c r="B172" i="43"/>
  <c r="B173" i="43"/>
  <c r="B174" i="43"/>
  <c r="B175" i="43"/>
  <c r="B176" i="43"/>
  <c r="B177" i="43"/>
  <c r="B178" i="43"/>
  <c r="B179" i="43"/>
  <c r="B180" i="43"/>
  <c r="B181" i="43"/>
  <c r="B182" i="43"/>
  <c r="B183" i="43"/>
  <c r="B184" i="43"/>
  <c r="B185" i="43"/>
  <c r="B186" i="43"/>
  <c r="B187" i="43"/>
  <c r="B188" i="43"/>
  <c r="B189" i="43"/>
  <c r="B190" i="43"/>
  <c r="B191" i="43"/>
  <c r="B192" i="43"/>
  <c r="B193" i="43"/>
  <c r="B194" i="43"/>
  <c r="B195" i="43"/>
  <c r="B196" i="43"/>
  <c r="B197" i="43"/>
  <c r="B198" i="43"/>
  <c r="B199" i="43"/>
  <c r="B200" i="43"/>
  <c r="B201" i="43"/>
  <c r="B202" i="43"/>
  <c r="B203" i="43"/>
  <c r="B204" i="43"/>
  <c r="B205" i="43"/>
  <c r="B206" i="43"/>
  <c r="B207" i="43"/>
  <c r="B208" i="43"/>
  <c r="B209" i="43"/>
  <c r="B210" i="43"/>
  <c r="B211" i="43"/>
  <c r="B212" i="43"/>
  <c r="B213" i="43"/>
  <c r="B214" i="43"/>
  <c r="B215" i="43"/>
  <c r="B216" i="43"/>
  <c r="B217" i="43"/>
  <c r="B218" i="43"/>
  <c r="B219" i="43"/>
  <c r="B220" i="43"/>
  <c r="B221" i="43"/>
  <c r="B222" i="43"/>
  <c r="B223" i="43"/>
  <c r="B224" i="43"/>
  <c r="B225" i="43"/>
  <c r="B226" i="43"/>
  <c r="B227" i="43"/>
  <c r="B228" i="43"/>
  <c r="B229" i="43"/>
  <c r="B230" i="43"/>
  <c r="B231" i="43"/>
  <c r="B232" i="43"/>
  <c r="B233" i="43"/>
  <c r="B234" i="43"/>
  <c r="B235" i="43"/>
  <c r="B236" i="43"/>
  <c r="B237" i="43"/>
  <c r="B238" i="43"/>
  <c r="B239" i="43"/>
  <c r="B240" i="43"/>
  <c r="B241" i="43"/>
  <c r="B242" i="43"/>
  <c r="B243" i="43"/>
  <c r="B244" i="43"/>
  <c r="B245" i="43"/>
  <c r="B246" i="43"/>
  <c r="B247" i="43"/>
  <c r="B248" i="43"/>
  <c r="B249" i="43"/>
  <c r="B250" i="43"/>
  <c r="B251" i="43"/>
  <c r="B252" i="43"/>
  <c r="B253" i="43"/>
  <c r="B254" i="43"/>
  <c r="B255" i="43"/>
  <c r="B256" i="43"/>
  <c r="B257" i="43"/>
  <c r="B258" i="43"/>
  <c r="B259" i="43"/>
  <c r="B260" i="43"/>
  <c r="B261" i="43"/>
  <c r="B262" i="43"/>
  <c r="B263" i="43"/>
  <c r="B264" i="43"/>
  <c r="B265" i="43"/>
  <c r="B266" i="43"/>
  <c r="B267" i="43"/>
  <c r="B268" i="43"/>
  <c r="B269" i="43"/>
  <c r="B270" i="43"/>
  <c r="B271" i="43"/>
  <c r="B272" i="43"/>
  <c r="B273" i="43"/>
  <c r="B274" i="43"/>
  <c r="B275" i="43"/>
  <c r="B276" i="43"/>
  <c r="B277" i="43"/>
  <c r="B278" i="43"/>
  <c r="B279" i="43"/>
  <c r="B280" i="43"/>
  <c r="B281" i="43"/>
  <c r="B282" i="43"/>
  <c r="B283" i="43"/>
  <c r="B284" i="43"/>
  <c r="B285" i="43"/>
  <c r="B286" i="43"/>
  <c r="B287" i="43"/>
  <c r="B288" i="43"/>
  <c r="B289" i="43"/>
  <c r="B290" i="43"/>
  <c r="B291" i="43"/>
  <c r="B292" i="43"/>
  <c r="B293" i="43"/>
  <c r="B294" i="43"/>
  <c r="B295" i="43"/>
  <c r="B296" i="43"/>
  <c r="B297" i="43"/>
  <c r="B298" i="43"/>
  <c r="B299" i="43"/>
  <c r="B300" i="43"/>
  <c r="B301" i="43"/>
  <c r="B302" i="43"/>
  <c r="B303" i="43"/>
  <c r="B304" i="43"/>
  <c r="B305" i="43"/>
  <c r="B306" i="43"/>
  <c r="B307" i="43"/>
  <c r="B308" i="43"/>
  <c r="B309" i="43"/>
  <c r="B310" i="43"/>
  <c r="B311" i="43"/>
  <c r="B312" i="43"/>
  <c r="B313" i="43"/>
  <c r="B314" i="43"/>
  <c r="B315" i="43"/>
  <c r="B316" i="43"/>
  <c r="B317" i="43"/>
  <c r="B318" i="43"/>
  <c r="B319" i="43"/>
  <c r="B320" i="43"/>
  <c r="B321" i="43"/>
  <c r="B322" i="43"/>
  <c r="B323" i="43"/>
  <c r="B324" i="43"/>
  <c r="B325" i="43"/>
  <c r="B326" i="43"/>
  <c r="B327" i="43"/>
  <c r="B328" i="43"/>
  <c r="B329" i="43"/>
  <c r="B330" i="43"/>
  <c r="B331" i="43"/>
  <c r="B332" i="43"/>
  <c r="B333" i="43"/>
  <c r="B334" i="43"/>
  <c r="B335" i="43"/>
  <c r="B336" i="43"/>
  <c r="B337" i="43"/>
  <c r="B338" i="43"/>
  <c r="B339" i="43"/>
  <c r="B340" i="43"/>
  <c r="B341" i="43"/>
  <c r="B342" i="43"/>
  <c r="B343" i="43"/>
  <c r="B344" i="43"/>
  <c r="B345" i="43"/>
  <c r="B346" i="43"/>
  <c r="B347" i="43"/>
  <c r="B348" i="43"/>
  <c r="B349" i="43"/>
  <c r="B350" i="43"/>
  <c r="B351" i="43"/>
  <c r="B352" i="43"/>
  <c r="B353" i="43"/>
  <c r="B354" i="43"/>
  <c r="B355" i="43"/>
  <c r="B356" i="43"/>
  <c r="B357" i="43"/>
  <c r="B358" i="43"/>
  <c r="B359" i="43"/>
  <c r="B360" i="43"/>
  <c r="B361" i="43"/>
  <c r="B362" i="43"/>
  <c r="B363" i="43"/>
  <c r="B364" i="43"/>
  <c r="B365" i="43"/>
  <c r="B366" i="43"/>
  <c r="J9" i="44" l="1"/>
  <c r="K54" i="44"/>
  <c r="K45" i="44"/>
  <c r="J17" i="44"/>
  <c r="K30" i="44"/>
  <c r="K21" i="44"/>
  <c r="K18" i="44"/>
  <c r="J11" i="44"/>
  <c r="J3" i="44"/>
  <c r="J10" i="44"/>
  <c r="J15" i="44"/>
  <c r="J7" i="44"/>
  <c r="I17" i="44"/>
  <c r="K17" i="44" s="1"/>
  <c r="J14" i="44"/>
  <c r="J6" i="44"/>
  <c r="J5" i="44"/>
  <c r="J13" i="44"/>
  <c r="J12" i="44"/>
  <c r="J4" i="44"/>
  <c r="J16" i="44"/>
  <c r="J8" i="44"/>
  <c r="G8" i="5" a="1"/>
  <c r="G8" i="5" s="1"/>
  <c r="G118" i="5" a="1"/>
  <c r="G118" i="5" s="1"/>
  <c r="G228" i="5" a="1"/>
  <c r="G228" i="5" s="1"/>
  <c r="G338" i="5" a="1"/>
  <c r="G338" i="5" s="1"/>
  <c r="G145" i="5" a="1"/>
  <c r="G145" i="5" s="1"/>
  <c r="G78" i="5" a="1"/>
  <c r="G78" i="5" s="1"/>
  <c r="G107" i="5" a="1"/>
  <c r="G107" i="5" s="1"/>
  <c r="G195" i="5" a="1"/>
  <c r="G195" i="5" s="1"/>
  <c r="G437" i="5" a="1"/>
  <c r="G437" i="5" s="1"/>
  <c r="G767" i="5" a="1"/>
  <c r="G767" i="5" s="1"/>
  <c r="G106" i="5" a="1"/>
  <c r="G106" i="5" s="1"/>
  <c r="G12" i="5" a="1"/>
  <c r="G12" i="5" s="1"/>
  <c r="G119" i="5" a="1"/>
  <c r="G119" i="5" s="1"/>
  <c r="G339" i="5" a="1"/>
  <c r="G339" i="5" s="1"/>
  <c r="J2" i="44"/>
  <c r="I2" i="44"/>
  <c r="F772" i="5"/>
  <c r="G188" i="5" a="1"/>
  <c r="G188" i="5" s="1"/>
  <c r="G364" i="5" a="1"/>
  <c r="G364" i="5" s="1"/>
  <c r="G541" i="5" a="1"/>
  <c r="G541" i="5" s="1"/>
  <c r="G79" i="5" a="1"/>
  <c r="G79" i="5" s="1"/>
  <c r="G9" i="5" a="1"/>
  <c r="G9" i="5" s="1"/>
  <c r="G189" i="5" a="1"/>
  <c r="G189" i="5" s="1"/>
  <c r="G569" i="5" a="1"/>
  <c r="G569" i="5" s="1"/>
  <c r="G480" i="5" a="1"/>
  <c r="G480" i="5" s="1"/>
  <c r="G392" i="5" a="1"/>
  <c r="G392" i="5" s="1"/>
  <c r="G283" i="5" a="1"/>
  <c r="G283" i="5" s="1"/>
  <c r="G238" i="5" a="1"/>
  <c r="G238" i="5" s="1"/>
  <c r="G194" i="5" a="1"/>
  <c r="G194" i="5" s="1"/>
  <c r="G41" i="5" a="1"/>
  <c r="G41" i="5" s="1"/>
  <c r="G40" i="5" a="1"/>
  <c r="G40" i="5" s="1"/>
  <c r="G475" i="5" a="1"/>
  <c r="G475" i="5" s="1"/>
  <c r="G299" i="5" a="1"/>
  <c r="G299" i="5" s="1"/>
  <c r="G298" i="5" a="1"/>
  <c r="G298" i="5" s="1"/>
  <c r="G122" i="5" a="1"/>
  <c r="G122" i="5" s="1"/>
  <c r="G13" i="5" a="1"/>
  <c r="G13" i="5" s="1"/>
  <c r="G669" i="5" a="1"/>
  <c r="G669" i="5" s="1"/>
  <c r="G382" i="5" a="1"/>
  <c r="G382" i="5" s="1"/>
  <c r="G229" i="5" a="1"/>
  <c r="G229" i="5" s="1"/>
  <c r="G163" i="5" a="1"/>
  <c r="G163" i="5" s="1"/>
  <c r="G162" i="5" a="1"/>
  <c r="G162" i="5" s="1"/>
  <c r="G53" i="5" a="1"/>
  <c r="G53" i="5" s="1"/>
  <c r="G52" i="5" a="1"/>
  <c r="G52" i="5" s="1"/>
  <c r="G365" i="5" a="1"/>
  <c r="G365" i="5" s="1"/>
  <c r="G524" i="5" a="1"/>
  <c r="G524" i="5" s="1"/>
  <c r="G436" i="5" a="1"/>
  <c r="G436" i="5" s="1"/>
  <c r="G282" i="5" a="1"/>
  <c r="G282" i="5" s="1"/>
  <c r="G129" i="5" a="1"/>
  <c r="G129" i="5" s="1"/>
  <c r="G84" i="5" a="1"/>
  <c r="G84" i="5" s="1"/>
  <c r="G739" i="5" a="1"/>
  <c r="G739" i="5" s="1"/>
  <c r="G409" i="5" a="1"/>
  <c r="G409" i="5" s="1"/>
  <c r="G408" i="5" a="1"/>
  <c r="G408" i="5" s="1"/>
  <c r="G232" i="5" a="1"/>
  <c r="G232" i="5" s="1"/>
  <c r="G123" i="5" a="1"/>
  <c r="G123" i="5" s="1"/>
  <c r="G56" i="5" a="1"/>
  <c r="G56" i="5" s="1"/>
  <c r="G713" i="5" a="1"/>
  <c r="G713" i="5" s="1"/>
  <c r="G383" i="5" a="1"/>
  <c r="G383" i="5" s="1"/>
  <c r="G273" i="5" a="1"/>
  <c r="G273" i="5" s="1"/>
  <c r="G272" i="5" a="1"/>
  <c r="G272" i="5" s="1"/>
  <c r="G206" i="5" a="1"/>
  <c r="G206" i="5" s="1"/>
  <c r="G150" i="5" a="1"/>
  <c r="G150" i="5" s="1"/>
  <c r="G701" i="5" a="1"/>
  <c r="G701" i="5" s="1"/>
  <c r="G613" i="5" a="1"/>
  <c r="G613" i="5" s="1"/>
  <c r="G371" i="5" a="1"/>
  <c r="G371" i="5" s="1"/>
  <c r="G327" i="5" a="1"/>
  <c r="G327" i="5" s="1"/>
  <c r="G326" i="5" a="1"/>
  <c r="G326" i="5" s="1"/>
  <c r="G173" i="5" a="1"/>
  <c r="G173" i="5" s="1"/>
  <c r="G85" i="5" a="1"/>
  <c r="G85" i="5" s="1"/>
  <c r="G673" i="5" a="1"/>
  <c r="G673" i="5" s="1"/>
  <c r="G519" i="5" a="1"/>
  <c r="G519" i="5" s="1"/>
  <c r="G343" i="5" a="1"/>
  <c r="G343" i="5" s="1"/>
  <c r="G342" i="5" a="1"/>
  <c r="G342" i="5" s="1"/>
  <c r="G233" i="5" a="1"/>
  <c r="G233" i="5" s="1"/>
  <c r="G167" i="5" a="1"/>
  <c r="G167" i="5" s="1"/>
  <c r="G166" i="5" a="1"/>
  <c r="G166" i="5" s="1"/>
  <c r="G57" i="5" a="1"/>
  <c r="G57" i="5" s="1"/>
  <c r="G757" i="5" a="1"/>
  <c r="G757" i="5" s="1"/>
  <c r="G426" i="5" a="1"/>
  <c r="G426" i="5" s="1"/>
  <c r="G317" i="5" a="1"/>
  <c r="G317" i="5" s="1"/>
  <c r="G207" i="5" a="1"/>
  <c r="G207" i="5" s="1"/>
  <c r="G97" i="5" a="1"/>
  <c r="G97" i="5" s="1"/>
  <c r="G96" i="5" a="1"/>
  <c r="G96" i="5" s="1"/>
  <c r="G745" i="5" a="1"/>
  <c r="G745" i="5" s="1"/>
  <c r="G657" i="5" a="1"/>
  <c r="G657" i="5" s="1"/>
  <c r="G415" i="5" a="1"/>
  <c r="G415" i="5" s="1"/>
  <c r="G370" i="5" a="1"/>
  <c r="G370" i="5" s="1"/>
  <c r="G261" i="5" a="1"/>
  <c r="G261" i="5" s="1"/>
  <c r="G217" i="5" a="1"/>
  <c r="G217" i="5" s="1"/>
  <c r="G128" i="5" a="1"/>
  <c r="G128" i="5" s="1"/>
  <c r="G19" i="5" a="1"/>
  <c r="G19" i="5" s="1"/>
  <c r="G18" i="5" a="1"/>
  <c r="G18" i="5" s="1"/>
  <c r="G453" i="5" a="1"/>
  <c r="G453" i="5" s="1"/>
  <c r="G277" i="5" a="1"/>
  <c r="G277" i="5" s="1"/>
  <c r="G276" i="5" a="1"/>
  <c r="G276" i="5" s="1"/>
  <c r="G101" i="5" a="1"/>
  <c r="G101" i="5" s="1"/>
  <c r="G100" i="5" a="1"/>
  <c r="G100" i="5" s="1"/>
  <c r="G427" i="5" a="1"/>
  <c r="G427" i="5" s="1"/>
  <c r="G360" i="5" a="1"/>
  <c r="G360" i="5" s="1"/>
  <c r="G316" i="5" a="1"/>
  <c r="G316" i="5" s="1"/>
  <c r="G141" i="5" a="1"/>
  <c r="G141" i="5" s="1"/>
  <c r="G30" i="5" a="1"/>
  <c r="G30" i="5" s="1"/>
  <c r="G458" i="5" a="1"/>
  <c r="G458" i="5" s="1"/>
  <c r="G414" i="5" a="1"/>
  <c r="G414" i="5" s="1"/>
  <c r="G260" i="5" a="1"/>
  <c r="G260" i="5" s="1"/>
  <c r="G172" i="5" a="1"/>
  <c r="G172" i="5" s="1"/>
  <c r="G717" i="5" a="1"/>
  <c r="G717" i="5" s="1"/>
  <c r="G387" i="5" a="1"/>
  <c r="G387" i="5" s="1"/>
  <c r="G386" i="5" a="1"/>
  <c r="G386" i="5" s="1"/>
  <c r="G211" i="5" a="1"/>
  <c r="G211" i="5" s="1"/>
  <c r="G210" i="5" a="1"/>
  <c r="G210" i="5" s="1"/>
  <c r="G34" i="5" a="1"/>
  <c r="G34" i="5" s="1"/>
  <c r="G361" i="5" a="1"/>
  <c r="G361" i="5" s="1"/>
  <c r="G251" i="5" a="1"/>
  <c r="G251" i="5" s="1"/>
  <c r="G250" i="5" a="1"/>
  <c r="G250" i="5" s="1"/>
  <c r="G140" i="5" a="1"/>
  <c r="G140" i="5" s="1"/>
  <c r="G31" i="5" a="1"/>
  <c r="G31" i="5" s="1"/>
  <c r="G591" i="5" a="1"/>
  <c r="G591" i="5" s="1"/>
  <c r="G502" i="5" a="1"/>
  <c r="G502" i="5" s="1"/>
  <c r="G349" i="5" a="1"/>
  <c r="G349" i="5" s="1"/>
  <c r="G305" i="5" a="1"/>
  <c r="G305" i="5" s="1"/>
  <c r="G304" i="5" a="1"/>
  <c r="G304" i="5" s="1"/>
  <c r="G216" i="5" a="1"/>
  <c r="G216" i="5" s="1"/>
  <c r="G63" i="5" a="1"/>
  <c r="G63" i="5" s="1"/>
  <c r="G62" i="5" a="1"/>
  <c r="G62" i="5" s="1"/>
  <c r="G497" i="5" a="1"/>
  <c r="G497" i="5" s="1"/>
  <c r="G430" i="5" a="1"/>
  <c r="G430" i="5" s="1"/>
  <c r="G321" i="5" a="1"/>
  <c r="G321" i="5" s="1"/>
  <c r="G320" i="5" a="1"/>
  <c r="G320" i="5" s="1"/>
  <c r="G144" i="5" a="1"/>
  <c r="G144" i="5" s="1"/>
  <c r="G35" i="5" a="1"/>
  <c r="G35" i="5" s="1"/>
  <c r="G691" i="5" a="1"/>
  <c r="G691" i="5" s="1"/>
  <c r="G404" i="5" a="1"/>
  <c r="G404" i="5" s="1"/>
  <c r="G295" i="5" a="1"/>
  <c r="G295" i="5" s="1"/>
  <c r="G185" i="5" a="1"/>
  <c r="G185" i="5" s="1"/>
  <c r="G184" i="5" a="1"/>
  <c r="G184" i="5" s="1"/>
  <c r="G75" i="5" a="1"/>
  <c r="G75" i="5" s="1"/>
  <c r="G74" i="5" a="1"/>
  <c r="G74" i="5" s="1"/>
  <c r="G723" i="5" a="1"/>
  <c r="G723" i="5" s="1"/>
  <c r="G679" i="5" a="1"/>
  <c r="G679" i="5" s="1"/>
  <c r="G635" i="5" a="1"/>
  <c r="G635" i="5" s="1"/>
  <c r="G546" i="5" a="1"/>
  <c r="G546" i="5" s="1"/>
  <c r="G393" i="5" a="1"/>
  <c r="G393" i="5" s="1"/>
  <c r="G348" i="5" a="1"/>
  <c r="G348" i="5" s="1"/>
  <c r="G239" i="5" a="1"/>
  <c r="G239" i="5" s="1"/>
  <c r="G151" i="5" a="1"/>
  <c r="G151" i="5" s="1"/>
  <c r="G761" i="5" a="1"/>
  <c r="G761" i="5" s="1"/>
  <c r="G431" i="5" a="1"/>
  <c r="G431" i="5" s="1"/>
  <c r="G255" i="5" a="1"/>
  <c r="G255" i="5" s="1"/>
  <c r="G254" i="5" a="1"/>
  <c r="G254" i="5" s="1"/>
  <c r="G735" i="5" a="1"/>
  <c r="G735" i="5" s="1"/>
  <c r="G405" i="5" a="1"/>
  <c r="G405" i="5" s="1"/>
  <c r="G294" i="5" a="1"/>
  <c r="G294" i="5" s="1"/>
  <c r="I6" i="44"/>
  <c r="I14" i="44"/>
  <c r="I12" i="44"/>
  <c r="I3" i="44"/>
  <c r="I15" i="44"/>
  <c r="I8" i="44"/>
  <c r="I13" i="44"/>
  <c r="I5" i="44"/>
  <c r="I16" i="44"/>
  <c r="I4" i="44"/>
  <c r="I7" i="44"/>
  <c r="I10" i="44"/>
  <c r="I11" i="44"/>
  <c r="I9" i="44"/>
  <c r="M52" i="14"/>
  <c r="N52" i="14"/>
  <c r="H52" i="14"/>
  <c r="T52" i="14"/>
  <c r="L52" i="14"/>
  <c r="S52" i="14"/>
  <c r="K52" i="14"/>
  <c r="R52" i="14"/>
  <c r="J52" i="14"/>
  <c r="Q52" i="14"/>
  <c r="P52" i="14"/>
  <c r="J36" i="14"/>
  <c r="R36" i="14"/>
  <c r="N36" i="14"/>
  <c r="M36" i="14"/>
  <c r="H36" i="14"/>
  <c r="T36" i="14"/>
  <c r="L36" i="14"/>
  <c r="G493" i="5" s="1" a="1"/>
  <c r="G493" i="5" s="1"/>
  <c r="S36" i="14"/>
  <c r="K36" i="14"/>
  <c r="Q36" i="14"/>
  <c r="P36" i="14"/>
  <c r="H56" i="14"/>
  <c r="L56" i="14"/>
  <c r="G606" i="5" s="1" a="1"/>
  <c r="G606" i="5" s="1"/>
  <c r="K56" i="14"/>
  <c r="G584" i="5" s="1" a="1"/>
  <c r="G584" i="5" s="1"/>
  <c r="N56" i="14"/>
  <c r="G650" i="5" s="1" a="1"/>
  <c r="G650" i="5" s="1"/>
  <c r="M56" i="14"/>
  <c r="G628" i="5" s="1" a="1"/>
  <c r="G628" i="5" s="1"/>
  <c r="T56" i="14"/>
  <c r="G760" i="5" s="1" a="1"/>
  <c r="G760" i="5" s="1"/>
  <c r="P56" i="14"/>
  <c r="G672" i="5" s="1" a="1"/>
  <c r="G672" i="5" s="1"/>
  <c r="Q56" i="14"/>
  <c r="G694" i="5" s="1" a="1"/>
  <c r="G694" i="5" s="1"/>
  <c r="S56" i="14"/>
  <c r="G738" i="5" s="1" a="1"/>
  <c r="G738" i="5" s="1"/>
  <c r="R56" i="14"/>
  <c r="G716" i="5" s="1" a="1"/>
  <c r="G716" i="5" s="1"/>
  <c r="J56" i="14"/>
  <c r="G562" i="5" s="1" a="1"/>
  <c r="G562" i="5" s="1"/>
  <c r="M33" i="14"/>
  <c r="M49" i="14"/>
  <c r="G634" i="5" s="1" a="1"/>
  <c r="G634" i="5" s="1"/>
  <c r="N38" i="14"/>
  <c r="G536" i="5" s="1" a="1"/>
  <c r="G536" i="5" s="1"/>
  <c r="N49" i="14"/>
  <c r="G656" i="5" s="1" a="1"/>
  <c r="G656" i="5" s="1"/>
  <c r="S49" i="14"/>
  <c r="G744" i="5" s="1" a="1"/>
  <c r="G744" i="5" s="1"/>
  <c r="T49" i="14"/>
  <c r="G766" i="5" s="1" a="1"/>
  <c r="G766" i="5" s="1"/>
  <c r="L49" i="14"/>
  <c r="G612" i="5" s="1" a="1"/>
  <c r="G612" i="5" s="1"/>
  <c r="K49" i="14"/>
  <c r="G590" i="5" s="1" a="1"/>
  <c r="G590" i="5" s="1"/>
  <c r="J49" i="14"/>
  <c r="G568" i="5" s="1" a="1"/>
  <c r="G568" i="5" s="1"/>
  <c r="R49" i="14"/>
  <c r="G722" i="5" s="1" a="1"/>
  <c r="G722" i="5" s="1"/>
  <c r="H49" i="14"/>
  <c r="N33" i="14"/>
  <c r="R33" i="14"/>
  <c r="J33" i="14"/>
  <c r="Q49" i="14"/>
  <c r="G700" i="5" s="1" a="1"/>
  <c r="G700" i="5" s="1"/>
  <c r="P49" i="14"/>
  <c r="G678" i="5" s="1" a="1"/>
  <c r="G678" i="5" s="1"/>
  <c r="H33" i="14"/>
  <c r="T33" i="14"/>
  <c r="L33" i="14"/>
  <c r="G503" i="5" s="1" a="1"/>
  <c r="G503" i="5" s="1"/>
  <c r="S33" i="14"/>
  <c r="K33" i="14"/>
  <c r="Q33" i="14"/>
  <c r="P33" i="14"/>
  <c r="N29" i="14"/>
  <c r="M29" i="14"/>
  <c r="T29" i="14"/>
  <c r="L29" i="14"/>
  <c r="M55" i="14"/>
  <c r="S29" i="14"/>
  <c r="K29" i="14"/>
  <c r="R29" i="14"/>
  <c r="J29" i="14"/>
  <c r="Q29" i="14"/>
  <c r="P29" i="14"/>
  <c r="H29" i="14"/>
  <c r="M46" i="14"/>
  <c r="N46" i="14"/>
  <c r="T46" i="14"/>
  <c r="L46" i="14"/>
  <c r="S46" i="14"/>
  <c r="K46" i="14"/>
  <c r="R46" i="14"/>
  <c r="J46" i="14"/>
  <c r="Q46" i="14"/>
  <c r="P46" i="14"/>
  <c r="H46" i="14"/>
  <c r="N55" i="14"/>
  <c r="H55" i="14"/>
  <c r="T55" i="14"/>
  <c r="G756" i="5" s="1" a="1"/>
  <c r="G756" i="5" s="1"/>
  <c r="L55" i="14"/>
  <c r="S55" i="14"/>
  <c r="G734" i="5" s="1" a="1"/>
  <c r="G734" i="5" s="1"/>
  <c r="K55" i="14"/>
  <c r="T38" i="14"/>
  <c r="R55" i="14"/>
  <c r="G712" i="5" s="1" a="1"/>
  <c r="G712" i="5" s="1"/>
  <c r="J55" i="14"/>
  <c r="Q55" i="14"/>
  <c r="G690" i="5" s="1" a="1"/>
  <c r="G690" i="5" s="1"/>
  <c r="P55" i="14"/>
  <c r="G668" i="5" s="1" a="1"/>
  <c r="G668" i="5" s="1"/>
  <c r="J38" i="14"/>
  <c r="G448" i="5" s="1" a="1"/>
  <c r="G448" i="5" s="1"/>
  <c r="M38" i="14"/>
  <c r="G514" i="5" s="1" a="1"/>
  <c r="G514" i="5" s="1"/>
  <c r="L38" i="14"/>
  <c r="G492" i="5" s="1" a="1"/>
  <c r="G492" i="5" s="1"/>
  <c r="H38" i="14"/>
  <c r="R38" i="14"/>
  <c r="Q38" i="14"/>
  <c r="S38" i="14"/>
  <c r="K38" i="14"/>
  <c r="G470" i="5" s="1" a="1"/>
  <c r="G470" i="5" s="1"/>
  <c r="P38" i="14"/>
  <c r="H54" i="14"/>
  <c r="N54" i="14"/>
  <c r="M54" i="14"/>
  <c r="L54" i="14"/>
  <c r="J54" i="14"/>
  <c r="T54" i="14"/>
  <c r="R54" i="14"/>
  <c r="S54" i="14"/>
  <c r="K54" i="14"/>
  <c r="Q54" i="14"/>
  <c r="P54" i="14"/>
  <c r="M34" i="14"/>
  <c r="H34" i="14"/>
  <c r="T34" i="14"/>
  <c r="L34" i="14"/>
  <c r="S34" i="14"/>
  <c r="K34" i="14"/>
  <c r="R34" i="14"/>
  <c r="J34" i="14"/>
  <c r="Q34" i="14"/>
  <c r="P34" i="14"/>
  <c r="N34" i="14"/>
  <c r="C3" i="11"/>
  <c r="C4" i="11"/>
  <c r="C5" i="11"/>
  <c r="C6" i="11"/>
  <c r="C7" i="11"/>
  <c r="C2" i="11"/>
  <c r="B2" i="11"/>
  <c r="B3" i="11"/>
  <c r="B4" i="11"/>
  <c r="B5" i="11"/>
  <c r="B6" i="11"/>
  <c r="B7" i="11"/>
  <c r="C44" i="19"/>
  <c r="C45" i="19"/>
  <c r="E44" i="19"/>
  <c r="E45" i="19"/>
  <c r="C43" i="19"/>
  <c r="E43" i="19"/>
  <c r="C32" i="19"/>
  <c r="C33" i="19"/>
  <c r="C34" i="19"/>
  <c r="C35" i="19"/>
  <c r="C36" i="19"/>
  <c r="C37" i="19"/>
  <c r="C38" i="19"/>
  <c r="C39" i="19"/>
  <c r="C40" i="19"/>
  <c r="C41" i="19"/>
  <c r="C42" i="19"/>
  <c r="E32" i="19"/>
  <c r="E33" i="19"/>
  <c r="E34" i="19"/>
  <c r="E35" i="19"/>
  <c r="E36" i="19"/>
  <c r="E37" i="19"/>
  <c r="E38" i="19"/>
  <c r="E39" i="19"/>
  <c r="E40" i="19"/>
  <c r="E41" i="19"/>
  <c r="E42" i="19"/>
  <c r="C31" i="19"/>
  <c r="E31" i="19"/>
  <c r="G558" i="5" l="1" a="1"/>
  <c r="G558" i="5" s="1"/>
  <c r="G580" i="5" a="1"/>
  <c r="G580" i="5" s="1"/>
  <c r="G602" i="5" a="1"/>
  <c r="G602" i="5" s="1"/>
  <c r="G646" i="5" a="1"/>
  <c r="G646" i="5" s="1"/>
  <c r="G563" i="5" a="1"/>
  <c r="G563" i="5" s="1"/>
  <c r="G585" i="5" a="1"/>
  <c r="G585" i="5" s="1"/>
  <c r="G607" i="5" a="1"/>
  <c r="G607" i="5" s="1"/>
  <c r="G651" i="5" a="1"/>
  <c r="G651" i="5" s="1"/>
  <c r="G629" i="5" a="1"/>
  <c r="G629" i="5" s="1"/>
  <c r="G452" i="5" a="1"/>
  <c r="G452" i="5" s="1"/>
  <c r="G624" i="5" a="1"/>
  <c r="G624" i="5" s="1"/>
  <c r="G496" i="5" a="1"/>
  <c r="G496" i="5" s="1"/>
  <c r="G518" i="5" a="1"/>
  <c r="G518" i="5" s="1"/>
  <c r="G540" i="5" a="1"/>
  <c r="G540" i="5" s="1"/>
  <c r="G459" i="5" a="1"/>
  <c r="G459" i="5" s="1"/>
  <c r="G547" i="5" a="1"/>
  <c r="G547" i="5" s="1"/>
  <c r="G525" i="5" a="1"/>
  <c r="G525" i="5" s="1"/>
  <c r="G471" i="5" a="1"/>
  <c r="G471" i="5" s="1"/>
  <c r="G515" i="5" a="1"/>
  <c r="G515" i="5" s="1"/>
  <c r="G537" i="5" a="1"/>
  <c r="G537" i="5" s="1"/>
  <c r="G449" i="5" a="1"/>
  <c r="G449" i="5" s="1"/>
  <c r="G559" i="5" a="1"/>
  <c r="G559" i="5" s="1"/>
  <c r="G581" i="5" a="1"/>
  <c r="G581" i="5" s="1"/>
  <c r="G603" i="5" a="1"/>
  <c r="G603" i="5" s="1"/>
  <c r="G647" i="5" a="1"/>
  <c r="G647" i="5" s="1"/>
  <c r="G625" i="5" a="1"/>
  <c r="G625" i="5" s="1"/>
  <c r="K3" i="44"/>
  <c r="G481" i="5" a="1"/>
  <c r="G481" i="5" s="1"/>
  <c r="G474" i="5" a="1"/>
  <c r="G474" i="5" s="1"/>
  <c r="K5" i="44"/>
  <c r="K14" i="44"/>
  <c r="K8" i="44"/>
  <c r="K2" i="44"/>
  <c r="K10" i="44"/>
  <c r="K16" i="44"/>
  <c r="K6" i="44"/>
  <c r="K12" i="44"/>
  <c r="K13" i="44"/>
  <c r="K15" i="44"/>
  <c r="K4" i="44"/>
  <c r="K11" i="44"/>
  <c r="K7" i="44"/>
  <c r="K9" i="44"/>
  <c r="B2" i="19"/>
  <c r="B3" i="19"/>
  <c r="B4" i="19"/>
  <c r="B5" i="19"/>
  <c r="B6" i="19"/>
  <c r="B7" i="19"/>
  <c r="B8" i="19"/>
  <c r="B9" i="19"/>
  <c r="B10" i="19"/>
  <c r="B11" i="19"/>
  <c r="B12" i="19"/>
  <c r="B13" i="19"/>
  <c r="B14" i="19"/>
  <c r="B15" i="19"/>
  <c r="B16" i="19"/>
  <c r="B17" i="19"/>
  <c r="B18" i="19"/>
  <c r="B19" i="19"/>
  <c r="B20" i="19"/>
  <c r="B21" i="19"/>
  <c r="B22" i="19"/>
  <c r="B23" i="19"/>
  <c r="B24" i="19"/>
  <c r="B25" i="19"/>
  <c r="B26" i="19"/>
  <c r="B8" i="14" l="1"/>
  <c r="B6" i="14"/>
  <c r="B4" i="14"/>
  <c r="B12" i="14"/>
  <c r="B13" i="14"/>
  <c r="B7" i="14"/>
  <c r="B5" i="14"/>
  <c r="B10" i="14"/>
  <c r="B11" i="14"/>
  <c r="B16" i="14"/>
  <c r="B3" i="14"/>
  <c r="B15" i="14"/>
  <c r="B14" i="14"/>
  <c r="B9" i="14"/>
  <c r="B2" i="14"/>
  <c r="C3" i="19" l="1"/>
  <c r="C4" i="19"/>
  <c r="C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2" i="19"/>
  <c r="E2" i="19"/>
  <c r="E3" i="19"/>
  <c r="E4" i="19"/>
  <c r="E5" i="19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I21" i="14" l="1"/>
  <c r="O18" i="14"/>
  <c r="O20" i="14"/>
  <c r="O32" i="14"/>
  <c r="O21" i="14"/>
  <c r="O50" i="14"/>
  <c r="O25" i="14"/>
  <c r="O44" i="14"/>
  <c r="O28" i="14"/>
  <c r="O47" i="14"/>
  <c r="O40" i="14"/>
  <c r="O41" i="14"/>
  <c r="O27" i="14"/>
  <c r="O22" i="14"/>
  <c r="O23" i="14"/>
  <c r="O35" i="14"/>
  <c r="O26" i="14"/>
  <c r="O17" i="14"/>
  <c r="O30" i="14"/>
  <c r="O51" i="14"/>
  <c r="O37" i="14"/>
  <c r="O39" i="14"/>
  <c r="O42" i="14"/>
  <c r="O45" i="14"/>
  <c r="O31" i="14"/>
  <c r="O48" i="14"/>
  <c r="I18" i="14"/>
  <c r="I20" i="14"/>
  <c r="I32" i="14"/>
  <c r="I50" i="14"/>
  <c r="I25" i="14"/>
  <c r="I44" i="14"/>
  <c r="I28" i="14"/>
  <c r="I47" i="14"/>
  <c r="I40" i="14"/>
  <c r="I41" i="14"/>
  <c r="I27" i="14"/>
  <c r="I22" i="14"/>
  <c r="I23" i="14"/>
  <c r="I35" i="14"/>
  <c r="I26" i="14"/>
  <c r="I17" i="14"/>
  <c r="I30" i="14"/>
  <c r="I51" i="14"/>
  <c r="I37" i="14"/>
  <c r="I39" i="14"/>
  <c r="I42" i="14"/>
  <c r="I45" i="14"/>
  <c r="I31" i="14"/>
  <c r="I48" i="14"/>
  <c r="G359" i="5" l="1" a="1"/>
  <c r="G359" i="5" s="1"/>
  <c r="G755" i="5" a="1"/>
  <c r="G755" i="5" s="1"/>
  <c r="G182" i="5" a="1"/>
  <c r="G182" i="5" s="1"/>
  <c r="G380" i="5" a="1"/>
  <c r="G380" i="5" s="1"/>
  <c r="G227" i="5" a="1"/>
  <c r="G227" i="5" s="1"/>
  <c r="G95" i="5" a="1"/>
  <c r="G95" i="5" s="1"/>
  <c r="G7" i="5" a="1"/>
  <c r="G7" i="5" s="1"/>
  <c r="G161" i="5" a="1"/>
  <c r="G161" i="5" s="1"/>
  <c r="G711" i="5" a="1"/>
  <c r="G711" i="5" s="1"/>
  <c r="G248" i="5" a="1"/>
  <c r="G248" i="5" s="1"/>
  <c r="G403" i="5" a="1"/>
  <c r="G403" i="5" s="1"/>
  <c r="G204" i="5" a="1"/>
  <c r="G204" i="5" s="1"/>
  <c r="G29" i="5" a="1"/>
  <c r="G29" i="5" s="1"/>
  <c r="G337" i="5" a="1"/>
  <c r="G337" i="5" s="1"/>
  <c r="G733" i="5" a="1"/>
  <c r="G733" i="5" s="1"/>
  <c r="G116" i="5" a="1"/>
  <c r="G116" i="5" s="1"/>
  <c r="G425" i="5" a="1"/>
  <c r="G425" i="5" s="1"/>
  <c r="G72" i="5" a="1"/>
  <c r="G72" i="5" s="1"/>
  <c r="G314" i="5" a="1"/>
  <c r="G314" i="5" s="1"/>
  <c r="G139" i="5" a="1"/>
  <c r="G139" i="5" s="1"/>
  <c r="G293" i="5" a="1"/>
  <c r="G293" i="5" s="1"/>
  <c r="G689" i="5" a="1"/>
  <c r="G689" i="5" s="1"/>
  <c r="G271" i="5" a="1"/>
  <c r="G271" i="5" s="1"/>
  <c r="G50" i="5" a="1"/>
  <c r="G50" i="5" s="1"/>
  <c r="G667" i="5" a="1"/>
  <c r="G667" i="5" s="1"/>
  <c r="G460" i="5" a="1"/>
  <c r="G460" i="5" s="1"/>
  <c r="G615" i="5" a="1"/>
  <c r="G615" i="5" s="1"/>
  <c r="G659" i="5" a="1"/>
  <c r="G659" i="5" s="1"/>
  <c r="G218" i="5" a="1"/>
  <c r="G218" i="5" s="1"/>
  <c r="G43" i="5" a="1"/>
  <c r="G43" i="5" s="1"/>
  <c r="G109" i="5" a="1"/>
  <c r="G109" i="5" s="1"/>
  <c r="G241" i="5" a="1"/>
  <c r="G241" i="5" s="1"/>
  <c r="G527" i="5" a="1"/>
  <c r="G527" i="5" s="1"/>
  <c r="G570" i="5" a="1"/>
  <c r="G570" i="5" s="1"/>
  <c r="G724" i="5" a="1"/>
  <c r="G724" i="5" s="1"/>
  <c r="G131" i="5" a="1"/>
  <c r="G131" i="5" s="1"/>
  <c r="G175" i="5" a="1"/>
  <c r="G175" i="5" s="1"/>
  <c r="G307" i="5" a="1"/>
  <c r="G307" i="5" s="1"/>
  <c r="G769" i="5" a="1"/>
  <c r="G769" i="5" s="1"/>
  <c r="G483" i="5" a="1"/>
  <c r="G483" i="5" s="1"/>
  <c r="G592" i="5" a="1"/>
  <c r="G592" i="5" s="1"/>
  <c r="G747" i="5" a="1"/>
  <c r="G747" i="5" s="1"/>
  <c r="G65" i="5" a="1"/>
  <c r="G65" i="5" s="1"/>
  <c r="G549" i="5" a="1"/>
  <c r="G549" i="5" s="1"/>
  <c r="G637" i="5" a="1"/>
  <c r="G637" i="5" s="1"/>
  <c r="G153" i="5" a="1"/>
  <c r="G153" i="5" s="1"/>
  <c r="G197" i="5" a="1"/>
  <c r="G197" i="5" s="1"/>
  <c r="G329" i="5" a="1"/>
  <c r="G329" i="5" s="1"/>
  <c r="G505" i="5" a="1"/>
  <c r="G505" i="5" s="1"/>
  <c r="G702" i="5" a="1"/>
  <c r="G702" i="5" s="1"/>
  <c r="G285" i="5" a="1"/>
  <c r="G285" i="5" s="1"/>
  <c r="G681" i="5" a="1"/>
  <c r="G681" i="5" s="1"/>
  <c r="G86" i="5" a="1"/>
  <c r="G86" i="5" s="1"/>
  <c r="G263" i="5" a="1"/>
  <c r="G263" i="5" s="1"/>
  <c r="G21" i="5" a="1"/>
  <c r="G21" i="5" s="1"/>
  <c r="G94" i="5" a="1"/>
  <c r="G94" i="5" s="1"/>
  <c r="G226" i="5" a="1"/>
  <c r="G226" i="5" s="1"/>
  <c r="G117" i="5" a="1"/>
  <c r="G117" i="5" s="1"/>
  <c r="G270" i="5" a="1"/>
  <c r="G270" i="5" s="1"/>
  <c r="G28" i="5" a="1"/>
  <c r="G28" i="5" s="1"/>
  <c r="G183" i="5" a="1"/>
  <c r="G183" i="5" s="1"/>
  <c r="G424" i="5" a="1"/>
  <c r="G424" i="5" s="1"/>
  <c r="G381" i="5" a="1"/>
  <c r="G381" i="5" s="1"/>
  <c r="G336" i="5" a="1"/>
  <c r="G336" i="5" s="1"/>
  <c r="G138" i="5" a="1"/>
  <c r="G138" i="5" s="1"/>
  <c r="G292" i="5" a="1"/>
  <c r="G292" i="5" s="1"/>
  <c r="G249" i="5" a="1"/>
  <c r="G249" i="5" s="1"/>
  <c r="G402" i="5" a="1"/>
  <c r="G402" i="5" s="1"/>
  <c r="G358" i="5" a="1"/>
  <c r="G358" i="5" s="1"/>
  <c r="G6" i="5" a="1"/>
  <c r="G6" i="5" s="1"/>
  <c r="G160" i="5" a="1"/>
  <c r="G160" i="5" s="1"/>
  <c r="G315" i="5" a="1"/>
  <c r="G315" i="5" s="1"/>
  <c r="G73" i="5" a="1"/>
  <c r="G73" i="5" s="1"/>
  <c r="G51" i="5" a="1"/>
  <c r="G51" i="5" s="1"/>
  <c r="G205" i="5" a="1"/>
  <c r="G205" i="5" s="1"/>
  <c r="G61" i="5" a="1"/>
  <c r="G61" i="5" s="1"/>
  <c r="G127" i="5" a="1"/>
  <c r="G127" i="5" s="1"/>
  <c r="G281" i="5" a="1"/>
  <c r="G281" i="5" s="1"/>
  <c r="G677" i="5" a="1"/>
  <c r="G677" i="5" s="1"/>
  <c r="G17" i="5" a="1"/>
  <c r="G17" i="5" s="1"/>
  <c r="G391" i="5" a="1"/>
  <c r="G391" i="5" s="1"/>
  <c r="G743" i="5" a="1"/>
  <c r="G743" i="5" s="1"/>
  <c r="G83" i="5" a="1"/>
  <c r="G83" i="5" s="1"/>
  <c r="G237" i="5" a="1"/>
  <c r="G237" i="5" s="1"/>
  <c r="G347" i="5" a="1"/>
  <c r="G347" i="5" s="1"/>
  <c r="G193" i="5" a="1"/>
  <c r="G193" i="5" s="1"/>
  <c r="G303" i="5" a="1"/>
  <c r="G303" i="5" s="1"/>
  <c r="G699" i="5" a="1"/>
  <c r="G699" i="5" s="1"/>
  <c r="G39" i="5" a="1"/>
  <c r="G39" i="5" s="1"/>
  <c r="G149" i="5" a="1"/>
  <c r="G149" i="5" s="1"/>
  <c r="G413" i="5" a="1"/>
  <c r="G413" i="5" s="1"/>
  <c r="G105" i="5" a="1"/>
  <c r="G105" i="5" s="1"/>
  <c r="G259" i="5" a="1"/>
  <c r="G259" i="5" s="1"/>
  <c r="G369" i="5" a="1"/>
  <c r="G369" i="5" s="1"/>
  <c r="G765" i="5" a="1"/>
  <c r="G765" i="5" s="1"/>
  <c r="G215" i="5" a="1"/>
  <c r="G215" i="5" s="1"/>
  <c r="G325" i="5" a="1"/>
  <c r="G325" i="5" s="1"/>
  <c r="G721" i="5" a="1"/>
  <c r="G721" i="5" s="1"/>
  <c r="G171" i="5" a="1"/>
  <c r="G171" i="5" s="1"/>
  <c r="G435" i="5" a="1"/>
  <c r="G435" i="5" s="1"/>
  <c r="G60" i="5" a="1"/>
  <c r="G60" i="5" s="1"/>
  <c r="G126" i="5" a="1"/>
  <c r="G126" i="5" s="1"/>
  <c r="G280" i="5" a="1"/>
  <c r="G280" i="5" s="1"/>
  <c r="G610" i="5" a="1"/>
  <c r="G610" i="5" s="1"/>
  <c r="G500" i="5" a="1"/>
  <c r="G500" i="5" s="1"/>
  <c r="G566" i="5" a="1"/>
  <c r="G566" i="5" s="1"/>
  <c r="G676" i="5" a="1"/>
  <c r="G676" i="5" s="1"/>
  <c r="G16" i="5" a="1"/>
  <c r="G16" i="5" s="1"/>
  <c r="G82" i="5" a="1"/>
  <c r="G82" i="5" s="1"/>
  <c r="G192" i="5" a="1"/>
  <c r="G192" i="5" s="1"/>
  <c r="G236" i="5" a="1"/>
  <c r="G236" i="5" s="1"/>
  <c r="G456" i="5" a="1"/>
  <c r="G456" i="5" s="1"/>
  <c r="G742" i="5" a="1"/>
  <c r="G742" i="5" s="1"/>
  <c r="G148" i="5" a="1"/>
  <c r="G148" i="5" s="1"/>
  <c r="G302" i="5" a="1"/>
  <c r="G302" i="5" s="1"/>
  <c r="G632" i="5" a="1"/>
  <c r="G632" i="5" s="1"/>
  <c r="G522" i="5" a="1"/>
  <c r="G522" i="5" s="1"/>
  <c r="G588" i="5" a="1"/>
  <c r="G588" i="5" s="1"/>
  <c r="G698" i="5" a="1"/>
  <c r="G698" i="5" s="1"/>
  <c r="G38" i="5" a="1"/>
  <c r="G38" i="5" s="1"/>
  <c r="G214" i="5" a="1"/>
  <c r="G214" i="5" s="1"/>
  <c r="G258" i="5" a="1"/>
  <c r="G258" i="5" s="1"/>
  <c r="G478" i="5" a="1"/>
  <c r="G478" i="5" s="1"/>
  <c r="G764" i="5" a="1"/>
  <c r="G764" i="5" s="1"/>
  <c r="G104" i="5" a="1"/>
  <c r="G104" i="5" s="1"/>
  <c r="G654" i="5" a="1"/>
  <c r="G654" i="5" s="1"/>
  <c r="G170" i="5" a="1"/>
  <c r="G170" i="5" s="1"/>
  <c r="G324" i="5" a="1"/>
  <c r="G324" i="5" s="1"/>
  <c r="G544" i="5" a="1"/>
  <c r="G544" i="5" s="1"/>
  <c r="G720" i="5" a="1"/>
  <c r="G720" i="5" s="1"/>
  <c r="G18" i="14"/>
  <c r="G20" i="14"/>
  <c r="G32" i="14"/>
  <c r="G21" i="14"/>
  <c r="G50" i="14"/>
  <c r="G25" i="14"/>
  <c r="G44" i="14"/>
  <c r="G28" i="14"/>
  <c r="G47" i="14"/>
  <c r="G40" i="14"/>
  <c r="G41" i="14"/>
  <c r="G27" i="14"/>
  <c r="G22" i="14"/>
  <c r="G23" i="14"/>
  <c r="G35" i="14"/>
  <c r="G26" i="14"/>
  <c r="G17" i="14"/>
  <c r="G30" i="14"/>
  <c r="G51" i="14"/>
  <c r="G37" i="14"/>
  <c r="G39" i="14"/>
  <c r="G42" i="14"/>
  <c r="G45" i="14"/>
  <c r="G31" i="14"/>
  <c r="G48" i="14"/>
  <c r="B24" i="14"/>
  <c r="F23" i="14"/>
  <c r="F22" i="14"/>
  <c r="F30" i="14"/>
  <c r="F48" i="14"/>
  <c r="F48" i="19" s="1"/>
  <c r="F31" i="14"/>
  <c r="F50" i="14"/>
  <c r="F50" i="19" s="1"/>
  <c r="F18" i="14"/>
  <c r="F32" i="14"/>
  <c r="F21" i="14"/>
  <c r="F28" i="14"/>
  <c r="F47" i="14"/>
  <c r="F47" i="19" s="1"/>
  <c r="F35" i="14"/>
  <c r="F27" i="14"/>
  <c r="F42" i="14"/>
  <c r="F26" i="14"/>
  <c r="F51" i="14"/>
  <c r="F51" i="19" s="1"/>
  <c r="F37" i="14"/>
  <c r="F20" i="14"/>
  <c r="F17" i="14"/>
  <c r="F40" i="14"/>
  <c r="F39" i="14"/>
  <c r="F45" i="14"/>
  <c r="F44" i="14"/>
  <c r="F25" i="14"/>
  <c r="B23" i="14"/>
  <c r="B22" i="14"/>
  <c r="B30" i="14"/>
  <c r="B48" i="14"/>
  <c r="D48" i="19" s="1"/>
  <c r="B31" i="14"/>
  <c r="B50" i="14"/>
  <c r="D50" i="19" s="1"/>
  <c r="B18" i="14"/>
  <c r="B19" i="14"/>
  <c r="B32" i="14"/>
  <c r="B21" i="14"/>
  <c r="B28" i="14"/>
  <c r="B47" i="14"/>
  <c r="B35" i="14"/>
  <c r="B27" i="14"/>
  <c r="B42" i="14"/>
  <c r="B26" i="14"/>
  <c r="B51" i="14"/>
  <c r="D51" i="19" s="1"/>
  <c r="B37" i="14"/>
  <c r="B53" i="14"/>
  <c r="D53" i="19" s="1"/>
  <c r="B43" i="14"/>
  <c r="B20" i="14"/>
  <c r="B41" i="14"/>
  <c r="B17" i="14"/>
  <c r="B40" i="14"/>
  <c r="B39" i="14"/>
  <c r="B45" i="14"/>
  <c r="B44" i="14"/>
  <c r="B25" i="14"/>
  <c r="D7" i="19" s="1"/>
  <c r="D10" i="19" l="1"/>
  <c r="D47" i="19"/>
  <c r="D38" i="19"/>
  <c r="D40" i="19"/>
  <c r="D43" i="19"/>
  <c r="D39" i="19"/>
  <c r="D45" i="19"/>
  <c r="D9" i="19"/>
  <c r="D19" i="19"/>
  <c r="D15" i="19"/>
  <c r="D18" i="19"/>
  <c r="D24" i="19"/>
  <c r="D21" i="19"/>
  <c r="D37" i="19"/>
  <c r="D8" i="19"/>
  <c r="D44" i="19"/>
  <c r="D36" i="19"/>
  <c r="D5" i="19"/>
  <c r="D14" i="19"/>
  <c r="D22" i="19"/>
  <c r="D23" i="19"/>
  <c r="D6" i="19"/>
  <c r="D42" i="19"/>
  <c r="D3" i="19"/>
  <c r="D41" i="19"/>
  <c r="D11" i="19"/>
  <c r="D17" i="19"/>
  <c r="D29" i="19"/>
  <c r="D34" i="19"/>
  <c r="D20" i="19"/>
  <c r="D2" i="19"/>
  <c r="D30" i="19"/>
  <c r="D35" i="19"/>
  <c r="D12" i="19"/>
  <c r="D13" i="19"/>
  <c r="D16" i="19"/>
  <c r="D27" i="19"/>
  <c r="D32" i="19"/>
  <c r="D4" i="19"/>
  <c r="D25" i="19"/>
  <c r="D28" i="19"/>
  <c r="D33" i="19"/>
  <c r="D26" i="19"/>
  <c r="D31" i="19"/>
  <c r="T42" i="14"/>
  <c r="T25" i="14"/>
  <c r="T31" i="14"/>
  <c r="T18" i="14"/>
  <c r="T28" i="14"/>
  <c r="T23" i="14"/>
  <c r="T30" i="14"/>
  <c r="T44" i="14"/>
  <c r="T22" i="14"/>
  <c r="T39" i="14"/>
  <c r="T45" i="14"/>
  <c r="T37" i="14"/>
  <c r="G644" i="5" s="1" a="1"/>
  <c r="G644" i="5" s="1"/>
  <c r="T21" i="14"/>
  <c r="T26" i="14"/>
  <c r="T27" i="14"/>
  <c r="T40" i="14"/>
  <c r="T51" i="14"/>
  <c r="G754" i="5" s="1" a="1"/>
  <c r="G754" i="5" s="1"/>
  <c r="T17" i="14"/>
  <c r="T41" i="14"/>
  <c r="T50" i="14"/>
  <c r="T20" i="14"/>
  <c r="T35" i="14"/>
  <c r="T32" i="14"/>
  <c r="T47" i="14"/>
  <c r="T48" i="14"/>
  <c r="R44" i="14"/>
  <c r="L44" i="14"/>
  <c r="P44" i="14"/>
  <c r="S44" i="14"/>
  <c r="J44" i="14"/>
  <c r="K44" i="14"/>
  <c r="N44" i="14"/>
  <c r="M44" i="14"/>
  <c r="Q44" i="14"/>
  <c r="N28" i="14"/>
  <c r="R28" i="14"/>
  <c r="L28" i="14"/>
  <c r="P28" i="14"/>
  <c r="S28" i="14"/>
  <c r="J28" i="14"/>
  <c r="M28" i="14"/>
  <c r="Q28" i="14"/>
  <c r="K28" i="14"/>
  <c r="Q30" i="14"/>
  <c r="K30" i="14"/>
  <c r="N30" i="14"/>
  <c r="G534" i="5" s="1" a="1"/>
  <c r="G534" i="5" s="1"/>
  <c r="R30" i="14"/>
  <c r="S30" i="14"/>
  <c r="J30" i="14"/>
  <c r="M30" i="14"/>
  <c r="L30" i="14"/>
  <c r="G490" i="5" s="1" a="1"/>
  <c r="G490" i="5" s="1"/>
  <c r="P30" i="14"/>
  <c r="R45" i="14"/>
  <c r="L45" i="14"/>
  <c r="N45" i="14"/>
  <c r="P45" i="14"/>
  <c r="S45" i="14"/>
  <c r="J45" i="14"/>
  <c r="K45" i="14"/>
  <c r="M45" i="14"/>
  <c r="Q45" i="14"/>
  <c r="S37" i="14"/>
  <c r="G623" i="5" s="1" a="1"/>
  <c r="G623" i="5" s="1"/>
  <c r="J37" i="14"/>
  <c r="G447" i="5" s="1" a="1"/>
  <c r="G447" i="5" s="1"/>
  <c r="M37" i="14"/>
  <c r="G512" i="5" s="1" a="1"/>
  <c r="G512" i="5" s="1"/>
  <c r="Q37" i="14"/>
  <c r="G579" i="5" s="1" a="1"/>
  <c r="G579" i="5" s="1"/>
  <c r="K37" i="14"/>
  <c r="G469" i="5" s="1" a="1"/>
  <c r="G469" i="5" s="1"/>
  <c r="L37" i="14"/>
  <c r="G491" i="5" s="1" a="1"/>
  <c r="G491" i="5" s="1"/>
  <c r="N37" i="14"/>
  <c r="G535" i="5" s="1" a="1"/>
  <c r="G535" i="5" s="1"/>
  <c r="P37" i="14"/>
  <c r="G557" i="5" s="1" a="1"/>
  <c r="G557" i="5" s="1"/>
  <c r="R37" i="14"/>
  <c r="G601" i="5" s="1" a="1"/>
  <c r="G601" i="5" s="1"/>
  <c r="S21" i="14"/>
  <c r="M21" i="14"/>
  <c r="Q21" i="14"/>
  <c r="K21" i="14"/>
  <c r="N21" i="14"/>
  <c r="L21" i="14"/>
  <c r="R21" i="14"/>
  <c r="J21" i="14"/>
  <c r="P21" i="14"/>
  <c r="P22" i="14"/>
  <c r="S22" i="14"/>
  <c r="J22" i="14"/>
  <c r="G351" i="5" s="1" a="1"/>
  <c r="G351" i="5" s="1"/>
  <c r="M22" i="14"/>
  <c r="Q22" i="14"/>
  <c r="R22" i="14"/>
  <c r="L22" i="14"/>
  <c r="G395" i="5" s="1" a="1"/>
  <c r="G395" i="5" s="1"/>
  <c r="K22" i="14"/>
  <c r="N22" i="14"/>
  <c r="G439" i="5" s="1" a="1"/>
  <c r="G439" i="5" s="1"/>
  <c r="P39" i="14"/>
  <c r="S39" i="14"/>
  <c r="J39" i="14"/>
  <c r="M39" i="14"/>
  <c r="Q39" i="14"/>
  <c r="K39" i="14"/>
  <c r="R39" i="14"/>
  <c r="L39" i="14"/>
  <c r="N39" i="14"/>
  <c r="M51" i="14"/>
  <c r="G622" i="5" s="1" a="1"/>
  <c r="G622" i="5" s="1"/>
  <c r="Q51" i="14"/>
  <c r="G688" i="5" s="1" a="1"/>
  <c r="G688" i="5" s="1"/>
  <c r="K51" i="14"/>
  <c r="G578" i="5" s="1" a="1"/>
  <c r="G578" i="5" s="1"/>
  <c r="J51" i="14"/>
  <c r="G556" i="5" s="1" a="1"/>
  <c r="G556" i="5" s="1"/>
  <c r="N51" i="14"/>
  <c r="G645" i="5" s="1" a="1"/>
  <c r="G645" i="5" s="1"/>
  <c r="S51" i="14"/>
  <c r="G732" i="5" s="1" a="1"/>
  <c r="G732" i="5" s="1"/>
  <c r="R51" i="14"/>
  <c r="G710" i="5" s="1" a="1"/>
  <c r="G710" i="5" s="1"/>
  <c r="L51" i="14"/>
  <c r="G600" i="5" s="1" a="1"/>
  <c r="G600" i="5" s="1"/>
  <c r="P51" i="14"/>
  <c r="G666" i="5" s="1" a="1"/>
  <c r="G666" i="5" s="1"/>
  <c r="M32" i="14"/>
  <c r="J32" i="14"/>
  <c r="Q32" i="14"/>
  <c r="K32" i="14"/>
  <c r="N32" i="14"/>
  <c r="S32" i="14"/>
  <c r="R32" i="14"/>
  <c r="L32" i="14"/>
  <c r="P32" i="14"/>
  <c r="L23" i="14"/>
  <c r="P23" i="14"/>
  <c r="S23" i="14"/>
  <c r="J23" i="14"/>
  <c r="M23" i="14"/>
  <c r="R23" i="14"/>
  <c r="Q23" i="14"/>
  <c r="K23" i="14"/>
  <c r="N23" i="14"/>
  <c r="Q40" i="14"/>
  <c r="K40" i="14"/>
  <c r="G479" i="5" s="1" a="1"/>
  <c r="G479" i="5" s="1"/>
  <c r="N40" i="14"/>
  <c r="G545" i="5" s="1" a="1"/>
  <c r="G545" i="5" s="1"/>
  <c r="R40" i="14"/>
  <c r="L40" i="14"/>
  <c r="G501" i="5" s="1" a="1"/>
  <c r="G501" i="5" s="1"/>
  <c r="M40" i="14"/>
  <c r="G523" i="5" s="1" a="1"/>
  <c r="G523" i="5" s="1"/>
  <c r="P40" i="14"/>
  <c r="S40" i="14"/>
  <c r="J40" i="14"/>
  <c r="G457" i="5" s="1" a="1"/>
  <c r="G457" i="5" s="1"/>
  <c r="N26" i="14"/>
  <c r="R26" i="14"/>
  <c r="K26" i="14"/>
  <c r="L26" i="14"/>
  <c r="P26" i="14"/>
  <c r="Q26" i="14"/>
  <c r="S26" i="14"/>
  <c r="J26" i="14"/>
  <c r="M26" i="14"/>
  <c r="K18" i="14"/>
  <c r="N18" i="14"/>
  <c r="R18" i="14"/>
  <c r="L18" i="14"/>
  <c r="Q18" i="14"/>
  <c r="P18" i="14"/>
  <c r="M18" i="14"/>
  <c r="J18" i="14"/>
  <c r="S18" i="14"/>
  <c r="K17" i="14"/>
  <c r="N17" i="14"/>
  <c r="R17" i="14"/>
  <c r="L17" i="14"/>
  <c r="Q17" i="14"/>
  <c r="P17" i="14"/>
  <c r="S17" i="14"/>
  <c r="J17" i="14"/>
  <c r="M17" i="14"/>
  <c r="M41" i="14"/>
  <c r="Q41" i="14"/>
  <c r="K41" i="14"/>
  <c r="N41" i="14"/>
  <c r="P41" i="14"/>
  <c r="J41" i="14"/>
  <c r="R41" i="14"/>
  <c r="L41" i="14"/>
  <c r="S41" i="14"/>
  <c r="S27" i="14"/>
  <c r="J27" i="14"/>
  <c r="M27" i="14"/>
  <c r="Q27" i="14"/>
  <c r="K27" i="14"/>
  <c r="P27" i="14"/>
  <c r="N27" i="14"/>
  <c r="R27" i="14"/>
  <c r="L27" i="14"/>
  <c r="P50" i="14"/>
  <c r="S50" i="14"/>
  <c r="J50" i="14"/>
  <c r="M50" i="14"/>
  <c r="Q50" i="14"/>
  <c r="K50" i="14"/>
  <c r="G589" i="5" s="1" a="1"/>
  <c r="G589" i="5" s="1"/>
  <c r="N50" i="14"/>
  <c r="R50" i="14"/>
  <c r="L50" i="14"/>
  <c r="L42" i="14"/>
  <c r="P42" i="14"/>
  <c r="J42" i="14"/>
  <c r="S42" i="14"/>
  <c r="M42" i="14"/>
  <c r="N42" i="14"/>
  <c r="Q42" i="14"/>
  <c r="K42" i="14"/>
  <c r="R42" i="14"/>
  <c r="Q20" i="14"/>
  <c r="K20" i="14"/>
  <c r="N20" i="14"/>
  <c r="J20" i="14"/>
  <c r="R20" i="14"/>
  <c r="S20" i="14"/>
  <c r="L20" i="14"/>
  <c r="P20" i="14"/>
  <c r="M20" i="14"/>
  <c r="R35" i="14"/>
  <c r="L35" i="14"/>
  <c r="P35" i="14"/>
  <c r="S35" i="14"/>
  <c r="J35" i="14"/>
  <c r="N35" i="14"/>
  <c r="M35" i="14"/>
  <c r="Q35" i="14"/>
  <c r="K35" i="14"/>
  <c r="N31" i="14"/>
  <c r="R31" i="14"/>
  <c r="L31" i="14"/>
  <c r="P31" i="14"/>
  <c r="S31" i="14"/>
  <c r="J31" i="14"/>
  <c r="Q31" i="14"/>
  <c r="K31" i="14"/>
  <c r="M31" i="14"/>
  <c r="L25" i="14"/>
  <c r="P25" i="14"/>
  <c r="J25" i="14"/>
  <c r="S25" i="14"/>
  <c r="M25" i="14"/>
  <c r="H25" i="14"/>
  <c r="N25" i="14"/>
  <c r="Q25" i="14"/>
  <c r="K25" i="14"/>
  <c r="R25" i="14"/>
  <c r="K47" i="14"/>
  <c r="N47" i="14"/>
  <c r="R47" i="14"/>
  <c r="Q47" i="14"/>
  <c r="L47" i="14"/>
  <c r="M47" i="14"/>
  <c r="P47" i="14"/>
  <c r="S47" i="14"/>
  <c r="J47" i="14"/>
  <c r="K48" i="14"/>
  <c r="N48" i="14"/>
  <c r="Q48" i="14"/>
  <c r="R48" i="14"/>
  <c r="L48" i="14"/>
  <c r="M48" i="14"/>
  <c r="P48" i="14"/>
  <c r="S48" i="14"/>
  <c r="J48" i="14"/>
  <c r="H26" i="14"/>
  <c r="H17" i="14"/>
  <c r="H42" i="14"/>
  <c r="H18" i="14"/>
  <c r="H41" i="14"/>
  <c r="H48" i="14"/>
  <c r="H47" i="14"/>
  <c r="H20" i="14"/>
  <c r="H30" i="14"/>
  <c r="H22" i="14"/>
  <c r="H31" i="14"/>
  <c r="H28" i="14"/>
  <c r="H37" i="14"/>
  <c r="H27" i="14"/>
  <c r="H50" i="14"/>
  <c r="H21" i="14"/>
  <c r="H51" i="14"/>
  <c r="H32" i="14"/>
  <c r="H23" i="14"/>
  <c r="H35" i="14"/>
  <c r="H39" i="14"/>
  <c r="H45" i="14"/>
  <c r="H44" i="14"/>
  <c r="H40" i="14"/>
  <c r="G513" i="5" l="1" a="1"/>
  <c r="G513" i="5" s="1"/>
  <c r="G655" i="5" a="1"/>
  <c r="G655" i="5" s="1"/>
  <c r="G633" i="5" a="1"/>
  <c r="G633" i="5" s="1"/>
  <c r="G567" i="5" a="1"/>
  <c r="G567" i="5" s="1"/>
  <c r="G390" i="5" a="1"/>
  <c r="G390" i="5" s="1"/>
  <c r="G434" i="5" a="1"/>
  <c r="G434" i="5" s="1"/>
  <c r="G446" i="5" a="1"/>
  <c r="G446" i="5" s="1"/>
  <c r="G346" i="5" a="1"/>
  <c r="G346" i="5" s="1"/>
  <c r="G611" i="5" a="1"/>
  <c r="G611" i="5" s="1"/>
  <c r="G417" i="5" a="1"/>
  <c r="G417" i="5" s="1"/>
  <c r="G368" i="5" a="1"/>
  <c r="G368" i="5" s="1"/>
  <c r="G373" i="5" a="1"/>
  <c r="G373" i="5" s="1"/>
  <c r="G412" i="5" a="1"/>
  <c r="G412" i="5" s="1"/>
  <c r="G468" i="5" a="1"/>
  <c r="G468" i="5" s="1"/>
  <c r="E3" i="11"/>
  <c r="E4" i="11"/>
  <c r="E5" i="11"/>
  <c r="E6" i="11"/>
  <c r="E7" i="11"/>
  <c r="E2" i="11"/>
  <c r="B38" i="19"/>
  <c r="O16" i="14"/>
  <c r="G16" i="14"/>
  <c r="G24" i="14"/>
  <c r="B30" i="19"/>
  <c r="O24" i="14"/>
  <c r="B42" i="19"/>
  <c r="G12" i="14"/>
  <c r="O12" i="14"/>
  <c r="O15" i="14"/>
  <c r="G15" i="14"/>
  <c r="B34" i="19"/>
  <c r="I7" i="14"/>
  <c r="B29" i="19"/>
  <c r="G19" i="14"/>
  <c r="O19" i="14"/>
  <c r="B40" i="19"/>
  <c r="O7" i="14"/>
  <c r="G7" i="14"/>
  <c r="B35" i="19"/>
  <c r="O3" i="14"/>
  <c r="G3" i="14"/>
  <c r="B41" i="19"/>
  <c r="O13" i="14"/>
  <c r="G13" i="14"/>
  <c r="I9" i="14"/>
  <c r="I12" i="14"/>
  <c r="I24" i="14"/>
  <c r="G11" i="14"/>
  <c r="O11" i="14"/>
  <c r="B37" i="19"/>
  <c r="O9" i="14"/>
  <c r="B32" i="19"/>
  <c r="G9" i="14"/>
  <c r="O5" i="14"/>
  <c r="B39" i="19"/>
  <c r="G5" i="14"/>
  <c r="I16" i="14"/>
  <c r="I14" i="14"/>
  <c r="I19" i="14"/>
  <c r="O43" i="14"/>
  <c r="G43" i="14"/>
  <c r="B28" i="19"/>
  <c r="G4" i="14"/>
  <c r="O4" i="14"/>
  <c r="B43" i="19"/>
  <c r="B27" i="19"/>
  <c r="O53" i="14"/>
  <c r="G53" i="14"/>
  <c r="I15" i="14"/>
  <c r="B36" i="19"/>
  <c r="G10" i="14"/>
  <c r="O10" i="14"/>
  <c r="G6" i="14"/>
  <c r="B44" i="19"/>
  <c r="O6" i="14"/>
  <c r="B33" i="19"/>
  <c r="O14" i="14"/>
  <c r="G14" i="14"/>
  <c r="O8" i="14"/>
  <c r="B45" i="19"/>
  <c r="G8" i="14"/>
  <c r="B31" i="19"/>
  <c r="O2" i="14"/>
  <c r="G2" i="14"/>
  <c r="J2" i="14" s="1"/>
  <c r="F9" i="14"/>
  <c r="F5" i="14"/>
  <c r="F8" i="14"/>
  <c r="F6" i="14"/>
  <c r="F4" i="14"/>
  <c r="F4" i="19" s="1"/>
  <c r="F16" i="14"/>
  <c r="F13" i="14"/>
  <c r="F12" i="14"/>
  <c r="F7" i="14"/>
  <c r="I10" i="14"/>
  <c r="F10" i="14"/>
  <c r="F21" i="19" s="1"/>
  <c r="F3" i="14"/>
  <c r="F11" i="14"/>
  <c r="F15" i="14"/>
  <c r="F14" i="14"/>
  <c r="F25" i="19"/>
  <c r="I11" i="14"/>
  <c r="I6" i="14"/>
  <c r="I13" i="14"/>
  <c r="F53" i="14"/>
  <c r="F53" i="19" s="1"/>
  <c r="F19" i="14"/>
  <c r="F19" i="19" s="1"/>
  <c r="F24" i="14"/>
  <c r="F43" i="14"/>
  <c r="I53" i="14"/>
  <c r="I4" i="14"/>
  <c r="I43" i="14"/>
  <c r="I5" i="14"/>
  <c r="I3" i="14"/>
  <c r="I8" i="14"/>
  <c r="G662" i="5" l="1" a="1"/>
  <c r="G662" i="5" s="1"/>
  <c r="G201" i="5" a="1"/>
  <c r="G201" i="5" s="1"/>
  <c r="G46" i="5" a="1"/>
  <c r="G46" i="5" s="1"/>
  <c r="G69" i="5" a="1"/>
  <c r="G69" i="5" s="1"/>
  <c r="G135" i="5" a="1"/>
  <c r="G135" i="5" s="1"/>
  <c r="G421" i="5" a="1"/>
  <c r="G421" i="5" s="1"/>
  <c r="G531" i="5" a="1"/>
  <c r="G531" i="5" s="1"/>
  <c r="G3" i="5" a="1"/>
  <c r="G3" i="5" s="1"/>
  <c r="G487" i="5" a="1"/>
  <c r="G487" i="5" s="1"/>
  <c r="G641" i="5" a="1"/>
  <c r="G641" i="5" s="1"/>
  <c r="G751" i="5" a="1"/>
  <c r="G751" i="5" s="1"/>
  <c r="G91" i="5" a="1"/>
  <c r="G91" i="5" s="1"/>
  <c r="G157" i="5" a="1"/>
  <c r="G157" i="5" s="1"/>
  <c r="G443" i="5" a="1"/>
  <c r="G443" i="5" s="1"/>
  <c r="G707" i="5" a="1"/>
  <c r="G707" i="5" s="1"/>
  <c r="G25" i="5" a="1"/>
  <c r="G25" i="5" s="1"/>
  <c r="G333" i="5" a="1"/>
  <c r="G333" i="5" s="1"/>
  <c r="G553" i="5" a="1"/>
  <c r="G553" i="5" s="1"/>
  <c r="G663" i="5" a="1"/>
  <c r="G663" i="5" s="1"/>
  <c r="G178" i="5" a="1"/>
  <c r="G178" i="5" s="1"/>
  <c r="G113" i="5" a="1"/>
  <c r="G113" i="5" s="1"/>
  <c r="G399" i="5" a="1"/>
  <c r="G399" i="5" s="1"/>
  <c r="G509" i="5" a="1"/>
  <c r="G509" i="5" s="1"/>
  <c r="G619" i="5" a="1"/>
  <c r="G619" i="5" s="1"/>
  <c r="G575" i="5" a="1"/>
  <c r="G575" i="5" s="1"/>
  <c r="G685" i="5" a="1"/>
  <c r="G685" i="5" s="1"/>
  <c r="G377" i="5" a="1"/>
  <c r="G377" i="5" s="1"/>
  <c r="G597" i="5" a="1"/>
  <c r="G597" i="5" s="1"/>
  <c r="G729" i="5" a="1"/>
  <c r="G729" i="5" s="1"/>
  <c r="G355" i="5" a="1"/>
  <c r="G355" i="5" s="1"/>
  <c r="G465" i="5" a="1"/>
  <c r="G465" i="5" s="1"/>
  <c r="G64" i="5" a="1"/>
  <c r="G64" i="5" s="1"/>
  <c r="G571" i="5" a="1"/>
  <c r="G571" i="5" s="1"/>
  <c r="G416" i="5" a="1"/>
  <c r="G416" i="5" s="1"/>
  <c r="G108" i="5" a="1"/>
  <c r="G108" i="5" s="1"/>
  <c r="G372" i="5" a="1"/>
  <c r="G372" i="5" s="1"/>
  <c r="G725" i="5" a="1"/>
  <c r="G725" i="5" s="1"/>
  <c r="G20" i="5" a="1"/>
  <c r="G20" i="5" s="1"/>
  <c r="G328" i="5" a="1"/>
  <c r="G328" i="5" s="1"/>
  <c r="G482" i="5" a="1"/>
  <c r="G482" i="5" s="1"/>
  <c r="G240" i="5" a="1"/>
  <c r="G240" i="5" s="1"/>
  <c r="G658" i="5" a="1"/>
  <c r="G658" i="5" s="1"/>
  <c r="G461" i="5" a="1"/>
  <c r="G461" i="5" s="1"/>
  <c r="G526" i="5" a="1"/>
  <c r="G526" i="5" s="1"/>
  <c r="G680" i="5" a="1"/>
  <c r="G680" i="5" s="1"/>
  <c r="G42" i="5" a="1"/>
  <c r="G42" i="5" s="1"/>
  <c r="G548" i="5" a="1"/>
  <c r="G548" i="5" s="1"/>
  <c r="G87" i="5" a="1"/>
  <c r="G87" i="5" s="1"/>
  <c r="G262" i="5" a="1"/>
  <c r="G262" i="5" s="1"/>
  <c r="G350" i="5" a="1"/>
  <c r="G350" i="5" s="1"/>
  <c r="G703" i="5" a="1"/>
  <c r="G703" i="5" s="1"/>
  <c r="G306" i="5" a="1"/>
  <c r="G306" i="5" s="1"/>
  <c r="G614" i="5" a="1"/>
  <c r="G614" i="5" s="1"/>
  <c r="G504" i="5" a="1"/>
  <c r="G504" i="5" s="1"/>
  <c r="G636" i="5" a="1"/>
  <c r="G636" i="5" s="1"/>
  <c r="G746" i="5" a="1"/>
  <c r="G746" i="5" s="1"/>
  <c r="G394" i="5" a="1"/>
  <c r="G394" i="5" s="1"/>
  <c r="G438" i="5" a="1"/>
  <c r="G438" i="5" s="1"/>
  <c r="G593" i="5" a="1"/>
  <c r="G593" i="5" s="1"/>
  <c r="G768" i="5" a="1"/>
  <c r="G768" i="5" s="1"/>
  <c r="G284" i="5" a="1"/>
  <c r="G284" i="5" s="1"/>
  <c r="G288" i="5" a="1"/>
  <c r="G288" i="5" s="1"/>
  <c r="G354" i="5" a="1"/>
  <c r="G354" i="5" s="1"/>
  <c r="G530" i="5" a="1"/>
  <c r="G530" i="5" s="1"/>
  <c r="G640" i="5" a="1"/>
  <c r="G640" i="5" s="1"/>
  <c r="G244" i="5" a="1"/>
  <c r="G244" i="5" s="1"/>
  <c r="G420" i="5" a="1"/>
  <c r="G420" i="5" s="1"/>
  <c r="G486" i="5" a="1"/>
  <c r="G486" i="5" s="1"/>
  <c r="G750" i="5" a="1"/>
  <c r="G750" i="5" s="1"/>
  <c r="G376" i="5" a="1"/>
  <c r="G376" i="5" s="1"/>
  <c r="G442" i="5" a="1"/>
  <c r="G442" i="5" s="1"/>
  <c r="G552" i="5" a="1"/>
  <c r="G552" i="5" s="1"/>
  <c r="G266" i="5" a="1"/>
  <c r="G266" i="5" s="1"/>
  <c r="G332" i="5" a="1"/>
  <c r="G332" i="5" s="1"/>
  <c r="G311" i="5" a="1"/>
  <c r="G311" i="5" s="1"/>
  <c r="G508" i="5" a="1"/>
  <c r="G508" i="5" s="1"/>
  <c r="G618" i="5" a="1"/>
  <c r="G618" i="5" s="1"/>
  <c r="G728" i="5" a="1"/>
  <c r="G728" i="5" s="1"/>
  <c r="G398" i="5" a="1"/>
  <c r="G398" i="5" s="1"/>
  <c r="G222" i="5" a="1"/>
  <c r="G222" i="5" s="1"/>
  <c r="G464" i="5" a="1"/>
  <c r="G464" i="5" s="1"/>
  <c r="G574" i="5" a="1"/>
  <c r="G574" i="5" s="1"/>
  <c r="G684" i="5" a="1"/>
  <c r="G684" i="5" s="1"/>
  <c r="G596" i="5" a="1"/>
  <c r="G596" i="5" s="1"/>
  <c r="G706" i="5" a="1"/>
  <c r="G706" i="5" s="1"/>
  <c r="G422" i="5" a="1"/>
  <c r="G422" i="5" s="1"/>
  <c r="G664" i="5" a="1"/>
  <c r="G664" i="5" s="1"/>
  <c r="G247" i="5" a="1"/>
  <c r="G247" i="5" s="1"/>
  <c r="G466" i="5" a="1"/>
  <c r="G466" i="5" s="1"/>
  <c r="G598" i="5" a="1"/>
  <c r="G598" i="5" s="1"/>
  <c r="G730" i="5" a="1"/>
  <c r="G730" i="5" s="1"/>
  <c r="G334" i="5" a="1"/>
  <c r="G334" i="5" s="1"/>
  <c r="G401" i="5" a="1"/>
  <c r="G401" i="5" s="1"/>
  <c r="G533" i="5" a="1"/>
  <c r="G533" i="5" s="1"/>
  <c r="G290" i="5" a="1"/>
  <c r="G290" i="5" s="1"/>
  <c r="G686" i="5" a="1"/>
  <c r="G686" i="5" s="1"/>
  <c r="G269" i="5" a="1"/>
  <c r="G269" i="5" s="1"/>
  <c r="G488" i="5" a="1"/>
  <c r="G488" i="5" s="1"/>
  <c r="G620" i="5" a="1"/>
  <c r="G620" i="5" s="1"/>
  <c r="G752" i="5" a="1"/>
  <c r="G752" i="5" s="1"/>
  <c r="G577" i="5" a="1"/>
  <c r="G577" i="5" s="1"/>
  <c r="G312" i="5" a="1"/>
  <c r="G312" i="5" s="1"/>
  <c r="G643" i="5" a="1"/>
  <c r="G643" i="5" s="1"/>
  <c r="G554" i="5" a="1"/>
  <c r="G554" i="5" s="1"/>
  <c r="G379" i="5" a="1"/>
  <c r="G379" i="5" s="1"/>
  <c r="G511" i="5" a="1"/>
  <c r="G511" i="5" s="1"/>
  <c r="G445" i="5" a="1"/>
  <c r="G445" i="5" s="1"/>
  <c r="G709" i="5" a="1"/>
  <c r="G709" i="5" s="1"/>
  <c r="G224" i="5" a="1"/>
  <c r="G224" i="5" s="1"/>
  <c r="G356" i="5" a="1"/>
  <c r="G356" i="5" s="1"/>
  <c r="G4" i="5" a="1"/>
  <c r="G4" i="5" s="1"/>
  <c r="G159" i="5" a="1"/>
  <c r="G159" i="5" s="1"/>
  <c r="G510" i="5" a="1"/>
  <c r="G510" i="5" s="1"/>
  <c r="G621" i="5" a="1"/>
  <c r="G621" i="5" s="1"/>
  <c r="G93" i="5" a="1"/>
  <c r="G93" i="5" s="1"/>
  <c r="G203" i="5" a="1"/>
  <c r="G203" i="5" s="1"/>
  <c r="G357" i="5" a="1"/>
  <c r="G357" i="5" s="1"/>
  <c r="G489" i="5" a="1"/>
  <c r="G489" i="5" s="1"/>
  <c r="G555" i="5" a="1"/>
  <c r="G555" i="5" s="1"/>
  <c r="G753" i="5" a="1"/>
  <c r="G753" i="5" s="1"/>
  <c r="G114" i="5" a="1"/>
  <c r="G114" i="5" s="1"/>
  <c r="G423" i="5" a="1"/>
  <c r="G423" i="5" s="1"/>
  <c r="G576" i="5" a="1"/>
  <c r="G576" i="5" s="1"/>
  <c r="G49" i="5" a="1"/>
  <c r="G49" i="5" s="1"/>
  <c r="G27" i="5" a="1"/>
  <c r="G27" i="5" s="1"/>
  <c r="G687" i="5" a="1"/>
  <c r="G687" i="5" s="1"/>
  <c r="G136" i="5" a="1"/>
  <c r="G136" i="5" s="1"/>
  <c r="G444" i="5" a="1"/>
  <c r="G444" i="5" s="1"/>
  <c r="G642" i="5" a="1"/>
  <c r="G642" i="5" s="1"/>
  <c r="G335" i="5" a="1"/>
  <c r="G335" i="5" s="1"/>
  <c r="G599" i="5" a="1"/>
  <c r="G599" i="5" s="1"/>
  <c r="G708" i="5" a="1"/>
  <c r="G708" i="5" s="1"/>
  <c r="G71" i="5" a="1"/>
  <c r="G71" i="5" s="1"/>
  <c r="G181" i="5" a="1"/>
  <c r="G181" i="5" s="1"/>
  <c r="G467" i="5" a="1"/>
  <c r="G467" i="5" s="1"/>
  <c r="G731" i="5" a="1"/>
  <c r="G731" i="5" s="1"/>
  <c r="G400" i="5" a="1"/>
  <c r="G400" i="5" s="1"/>
  <c r="G665" i="5" a="1"/>
  <c r="G665" i="5" s="1"/>
  <c r="G378" i="5" a="1"/>
  <c r="G378" i="5" s="1"/>
  <c r="G532" i="5" a="1"/>
  <c r="G532" i="5" s="1"/>
  <c r="G286" i="5" a="1"/>
  <c r="G286" i="5" s="1"/>
  <c r="G550" i="5" a="1"/>
  <c r="G550" i="5" s="1"/>
  <c r="G485" i="5" a="1"/>
  <c r="G485" i="5" s="1"/>
  <c r="G749" i="5" a="1"/>
  <c r="G749" i="5" s="1"/>
  <c r="G265" i="5" a="1"/>
  <c r="G265" i="5" s="1"/>
  <c r="G353" i="5" a="1"/>
  <c r="G353" i="5" s="1"/>
  <c r="G705" i="5" a="1"/>
  <c r="G705" i="5" s="1"/>
  <c r="G88" i="5" a="1"/>
  <c r="G88" i="5" s="1"/>
  <c r="G67" i="5" a="1"/>
  <c r="G67" i="5" s="1"/>
  <c r="G595" i="5" a="1"/>
  <c r="G595" i="5" s="1"/>
  <c r="G639" i="5" a="1"/>
  <c r="G639" i="5" s="1"/>
  <c r="G441" i="5" a="1"/>
  <c r="G441" i="5" s="1"/>
  <c r="G507" i="5" a="1"/>
  <c r="G507" i="5" s="1"/>
  <c r="G418" i="5" a="1"/>
  <c r="G418" i="5" s="1"/>
  <c r="G243" i="5" a="1"/>
  <c r="G243" i="5" s="1"/>
  <c r="G463" i="5" a="1"/>
  <c r="G463" i="5" s="1"/>
  <c r="G771" i="5" a="1"/>
  <c r="G771" i="5" s="1"/>
  <c r="G110" i="5" a="1"/>
  <c r="G110" i="5" s="1"/>
  <c r="G683" i="5" a="1"/>
  <c r="G683" i="5" s="1"/>
  <c r="G529" i="5" a="1"/>
  <c r="G529" i="5" s="1"/>
  <c r="G617" i="5" a="1"/>
  <c r="G617" i="5" s="1"/>
  <c r="G661" i="5" a="1"/>
  <c r="G661" i="5" s="1"/>
  <c r="G45" i="5" a="1"/>
  <c r="G45" i="5" s="1"/>
  <c r="G331" i="5" a="1"/>
  <c r="G331" i="5" s="1"/>
  <c r="G397" i="5" a="1"/>
  <c r="G397" i="5" s="1"/>
  <c r="G573" i="5" a="1"/>
  <c r="G573" i="5" s="1"/>
  <c r="G375" i="5" a="1"/>
  <c r="G375" i="5" s="1"/>
  <c r="G727" i="5" a="1"/>
  <c r="G727" i="5" s="1"/>
  <c r="G22" i="5" a="1"/>
  <c r="G22" i="5" s="1"/>
  <c r="G309" i="5" a="1"/>
  <c r="G309" i="5" s="1"/>
  <c r="G14" i="5" a="1"/>
  <c r="G14" i="5" s="1"/>
  <c r="G212" i="5" a="1"/>
  <c r="G212" i="5" s="1"/>
  <c r="G740" i="5" a="1"/>
  <c r="G740" i="5" s="1"/>
  <c r="G697" i="5" a="1"/>
  <c r="G697" i="5" s="1"/>
  <c r="G80" i="5" a="1"/>
  <c r="G80" i="5" s="1"/>
  <c r="G674" i="5" a="1"/>
  <c r="G674" i="5" s="1"/>
  <c r="G36" i="5" a="1"/>
  <c r="G36" i="5" s="1"/>
  <c r="G389" i="5" a="1"/>
  <c r="G389" i="5" s="1"/>
  <c r="G146" i="5" a="1"/>
  <c r="G146" i="5" s="1"/>
  <c r="G190" i="5" a="1"/>
  <c r="G190" i="5" s="1"/>
  <c r="G718" i="5" a="1"/>
  <c r="G718" i="5" s="1"/>
  <c r="G102" i="5" a="1"/>
  <c r="G102" i="5" s="1"/>
  <c r="G125" i="5" a="1"/>
  <c r="G125" i="5" s="1"/>
  <c r="G432" i="5" a="1"/>
  <c r="G432" i="5" s="1"/>
  <c r="G410" i="5" a="1"/>
  <c r="G410" i="5" s="1"/>
  <c r="G58" i="5" a="1"/>
  <c r="G58" i="5" s="1"/>
  <c r="G367" i="5" a="1"/>
  <c r="G367" i="5" s="1"/>
  <c r="G344" i="5" a="1"/>
  <c r="G344" i="5" s="1"/>
  <c r="G168" i="5" a="1"/>
  <c r="G168" i="5" s="1"/>
  <c r="G763" i="5" a="1"/>
  <c r="G763" i="5" s="1"/>
  <c r="G748" i="5" a="1"/>
  <c r="G748" i="5" s="1"/>
  <c r="G176" i="5" a="1"/>
  <c r="G176" i="5" s="1"/>
  <c r="G132" i="5" a="1"/>
  <c r="G132" i="5" s="1"/>
  <c r="G396" i="5" a="1"/>
  <c r="G396" i="5" s="1"/>
  <c r="G660" i="5" a="1"/>
  <c r="G660" i="5" s="1"/>
  <c r="G572" i="5" a="1"/>
  <c r="G572" i="5" s="1"/>
  <c r="G242" i="5" a="1"/>
  <c r="G242" i="5" s="1"/>
  <c r="G506" i="5" a="1"/>
  <c r="G506" i="5" s="1"/>
  <c r="G330" i="5" a="1"/>
  <c r="G330" i="5" s="1"/>
  <c r="G419" i="5" a="1"/>
  <c r="G419" i="5" s="1"/>
  <c r="G551" i="5" a="1"/>
  <c r="G551" i="5" s="1"/>
  <c r="G704" i="5" a="1"/>
  <c r="G704" i="5" s="1"/>
  <c r="G352" i="5" a="1"/>
  <c r="G352" i="5" s="1"/>
  <c r="G616" i="5" a="1"/>
  <c r="G616" i="5" s="1"/>
  <c r="G770" i="5" a="1"/>
  <c r="G770" i="5" s="1"/>
  <c r="G198" i="5" a="1"/>
  <c r="G198" i="5" s="1"/>
  <c r="G264" i="5" a="1"/>
  <c r="G264" i="5" s="1"/>
  <c r="G528" i="5" a="1"/>
  <c r="G528" i="5" s="1"/>
  <c r="G155" i="5" a="1"/>
  <c r="G155" i="5" s="1"/>
  <c r="G726" i="5" a="1"/>
  <c r="G726" i="5" s="1"/>
  <c r="G374" i="5" a="1"/>
  <c r="G374" i="5" s="1"/>
  <c r="G638" i="5" a="1"/>
  <c r="G638" i="5" s="1"/>
  <c r="G440" i="5" a="1"/>
  <c r="G440" i="5" s="1"/>
  <c r="G462" i="5" a="1"/>
  <c r="G462" i="5" s="1"/>
  <c r="G484" i="5" a="1"/>
  <c r="G484" i="5" s="1"/>
  <c r="G221" i="5" a="1"/>
  <c r="G221" i="5" s="1"/>
  <c r="G308" i="5" a="1"/>
  <c r="G308" i="5" s="1"/>
  <c r="G682" i="5" a="1"/>
  <c r="G682" i="5" s="1"/>
  <c r="G287" i="5" a="1"/>
  <c r="G287" i="5" s="1"/>
  <c r="G594" i="5" a="1"/>
  <c r="G594" i="5" s="1"/>
  <c r="G165" i="5" a="1"/>
  <c r="G165" i="5" s="1"/>
  <c r="G649" i="5" a="1"/>
  <c r="G649" i="5" s="1"/>
  <c r="G121" i="5" a="1"/>
  <c r="G121" i="5" s="1"/>
  <c r="G605" i="5" a="1"/>
  <c r="G605" i="5" s="1"/>
  <c r="G671" i="5" a="1"/>
  <c r="G671" i="5" s="1"/>
  <c r="G11" i="5" a="1"/>
  <c r="G11" i="5" s="1"/>
  <c r="G77" i="5" a="1"/>
  <c r="G77" i="5" s="1"/>
  <c r="G517" i="5" a="1"/>
  <c r="G517" i="5" s="1"/>
  <c r="G187" i="5" a="1"/>
  <c r="G187" i="5" s="1"/>
  <c r="G627" i="5" a="1"/>
  <c r="G627" i="5" s="1"/>
  <c r="G33" i="5" a="1"/>
  <c r="G33" i="5" s="1"/>
  <c r="G99" i="5" a="1"/>
  <c r="G99" i="5" s="1"/>
  <c r="G495" i="5" a="1"/>
  <c r="G495" i="5" s="1"/>
  <c r="G715" i="5" a="1"/>
  <c r="G715" i="5" s="1"/>
  <c r="G143" i="5" a="1"/>
  <c r="G143" i="5" s="1"/>
  <c r="G209" i="5" a="1"/>
  <c r="G209" i="5" s="1"/>
  <c r="G451" i="5" a="1"/>
  <c r="G451" i="5" s="1"/>
  <c r="G583" i="5" a="1"/>
  <c r="G583" i="5" s="1"/>
  <c r="G55" i="5" a="1"/>
  <c r="G55" i="5" s="1"/>
  <c r="G737" i="5" a="1"/>
  <c r="G737" i="5" s="1"/>
  <c r="G473" i="5" a="1"/>
  <c r="G473" i="5" s="1"/>
  <c r="G539" i="5" a="1"/>
  <c r="G539" i="5" s="1"/>
  <c r="G693" i="5" a="1"/>
  <c r="G693" i="5" s="1"/>
  <c r="G561" i="5" a="1"/>
  <c r="G561" i="5" s="1"/>
  <c r="G759" i="5" a="1"/>
  <c r="G759" i="5" s="1"/>
  <c r="G428" i="5" a="1"/>
  <c r="G428" i="5" s="1"/>
  <c r="G450" i="5" a="1"/>
  <c r="G450" i="5" s="1"/>
  <c r="G362" i="5" a="1"/>
  <c r="G362" i="5" s="1"/>
  <c r="G538" i="5" a="1"/>
  <c r="G538" i="5" s="1"/>
  <c r="G516" i="5" a="1"/>
  <c r="G516" i="5" s="1"/>
  <c r="G472" i="5" a="1"/>
  <c r="G472" i="5" s="1"/>
  <c r="G406" i="5" a="1"/>
  <c r="G406" i="5" s="1"/>
  <c r="G384" i="5" a="1"/>
  <c r="G384" i="5" s="1"/>
  <c r="G340" i="5" a="1"/>
  <c r="G340" i="5" s="1"/>
  <c r="G494" i="5" a="1"/>
  <c r="G494" i="5" s="1"/>
  <c r="G256" i="5" a="1"/>
  <c r="G256" i="5" s="1"/>
  <c r="G81" i="5" a="1"/>
  <c r="G81" i="5" s="1"/>
  <c r="G169" i="5" a="1"/>
  <c r="G169" i="5" s="1"/>
  <c r="G477" i="5" a="1"/>
  <c r="G477" i="5" s="1"/>
  <c r="G675" i="5" a="1"/>
  <c r="G675" i="5" s="1"/>
  <c r="G564" i="5" a="1"/>
  <c r="G564" i="5" s="1"/>
  <c r="G762" i="5" a="1"/>
  <c r="G762" i="5" s="1"/>
  <c r="G15" i="5" a="1"/>
  <c r="G15" i="5" s="1"/>
  <c r="G520" i="5" a="1"/>
  <c r="G520" i="5" s="1"/>
  <c r="G37" i="5" a="1"/>
  <c r="G37" i="5" s="1"/>
  <c r="G124" i="5" a="1"/>
  <c r="G124" i="5" s="1"/>
  <c r="G103" i="5" a="1"/>
  <c r="G103" i="5" s="1"/>
  <c r="G191" i="5" a="1"/>
  <c r="G191" i="5" s="1"/>
  <c r="G587" i="5" a="1"/>
  <c r="G587" i="5" s="1"/>
  <c r="G719" i="5" a="1"/>
  <c r="G719" i="5" s="1"/>
  <c r="G543" i="5" a="1"/>
  <c r="G543" i="5" s="1"/>
  <c r="G59" i="5" a="1"/>
  <c r="G59" i="5" s="1"/>
  <c r="G301" i="5" a="1"/>
  <c r="G301" i="5" s="1"/>
  <c r="G455" i="5" a="1"/>
  <c r="G455" i="5" s="1"/>
  <c r="G147" i="5" a="1"/>
  <c r="G147" i="5" s="1"/>
  <c r="G696" i="5" a="1"/>
  <c r="G696" i="5" s="1"/>
  <c r="G213" i="5" a="1"/>
  <c r="G213" i="5" s="1"/>
  <c r="G741" i="5" a="1"/>
  <c r="G741" i="5" s="1"/>
  <c r="G498" i="5" a="1"/>
  <c r="G498" i="5" s="1"/>
  <c r="G652" i="5" a="1"/>
  <c r="G652" i="5" s="1"/>
  <c r="G609" i="5" a="1"/>
  <c r="G609" i="5" s="1"/>
  <c r="G234" i="5" a="1"/>
  <c r="G234" i="5" s="1"/>
  <c r="G323" i="5" a="1"/>
  <c r="G323" i="5" s="1"/>
  <c r="G279" i="5" a="1"/>
  <c r="G279" i="5" s="1"/>
  <c r="G630" i="5" a="1"/>
  <c r="G630" i="5" s="1"/>
  <c r="F57" i="14"/>
  <c r="F8" i="19"/>
  <c r="F12" i="19"/>
  <c r="F11" i="19"/>
  <c r="F15" i="19"/>
  <c r="F13" i="19"/>
  <c r="F26" i="19"/>
  <c r="F23" i="19"/>
  <c r="F22" i="19"/>
  <c r="F24" i="19"/>
  <c r="S15" i="14"/>
  <c r="S19" i="14"/>
  <c r="F20" i="19"/>
  <c r="F18" i="19"/>
  <c r="F14" i="19"/>
  <c r="F17" i="19"/>
  <c r="F7" i="19"/>
  <c r="F16" i="19"/>
  <c r="F6" i="19"/>
  <c r="F3" i="19"/>
  <c r="F37" i="19"/>
  <c r="F10" i="19"/>
  <c r="H3" i="14"/>
  <c r="F9" i="19"/>
  <c r="F5" i="19"/>
  <c r="F2" i="19"/>
  <c r="Q4" i="14"/>
  <c r="M13" i="14"/>
  <c r="K43" i="14"/>
  <c r="G476" i="5" s="1" a="1"/>
  <c r="G476" i="5" s="1"/>
  <c r="J14" i="14"/>
  <c r="K12" i="14"/>
  <c r="N5" i="14"/>
  <c r="G92" i="5" s="1" a="1"/>
  <c r="G92" i="5" s="1"/>
  <c r="K4" i="14"/>
  <c r="Q6" i="14"/>
  <c r="H2" i="14"/>
  <c r="N2" i="14"/>
  <c r="K11" i="14"/>
  <c r="R3" i="14"/>
  <c r="T7" i="14"/>
  <c r="Q16" i="14"/>
  <c r="Q43" i="14"/>
  <c r="G586" i="5" s="1" a="1"/>
  <c r="G586" i="5" s="1"/>
  <c r="R9" i="14"/>
  <c r="R8" i="14"/>
  <c r="M43" i="14"/>
  <c r="G521" i="5" s="1" a="1"/>
  <c r="G521" i="5" s="1"/>
  <c r="M24" i="14"/>
  <c r="P2" i="14"/>
  <c r="G10" i="5" s="1" a="1"/>
  <c r="G10" i="5" s="1"/>
  <c r="S3" i="14"/>
  <c r="R10" i="14"/>
  <c r="R4" i="14"/>
  <c r="T24" i="14"/>
  <c r="K13" i="14"/>
  <c r="L9" i="14"/>
  <c r="P19" i="14"/>
  <c r="T14" i="14"/>
  <c r="Q13" i="14"/>
  <c r="H9" i="14"/>
  <c r="T19" i="14"/>
  <c r="S2" i="14"/>
  <c r="K14" i="14"/>
  <c r="Q7" i="14"/>
  <c r="R6" i="14"/>
  <c r="F32" i="19"/>
  <c r="M12" i="14"/>
  <c r="P14" i="14"/>
  <c r="R11" i="14"/>
  <c r="M2" i="14"/>
  <c r="G76" i="5" s="1" a="1"/>
  <c r="G76" i="5" s="1"/>
  <c r="N53" i="14"/>
  <c r="G648" i="5" s="1" a="1"/>
  <c r="G648" i="5" s="1"/>
  <c r="K2" i="14"/>
  <c r="Q14" i="14"/>
  <c r="Q3" i="14"/>
  <c r="K7" i="14"/>
  <c r="R16" i="14"/>
  <c r="K6" i="14"/>
  <c r="S9" i="14"/>
  <c r="F31" i="19"/>
  <c r="T2" i="14"/>
  <c r="H14" i="14"/>
  <c r="M3" i="14"/>
  <c r="M7" i="14"/>
  <c r="M16" i="14"/>
  <c r="P6" i="14"/>
  <c r="K9" i="14"/>
  <c r="N14" i="14"/>
  <c r="G318" i="5" s="1" a="1"/>
  <c r="G318" i="5" s="1"/>
  <c r="P12" i="14"/>
  <c r="T4" i="14"/>
  <c r="J9" i="14"/>
  <c r="P53" i="14"/>
  <c r="G670" i="5" s="1" a="1"/>
  <c r="G670" i="5" s="1"/>
  <c r="Q53" i="14"/>
  <c r="G692" i="5" s="1" a="1"/>
  <c r="G692" i="5" s="1"/>
  <c r="S24" i="14"/>
  <c r="S13" i="14"/>
  <c r="R7" i="14"/>
  <c r="P5" i="14"/>
  <c r="L16" i="14"/>
  <c r="S5" i="14"/>
  <c r="H24" i="14"/>
  <c r="J24" i="14"/>
  <c r="R19" i="14"/>
  <c r="T53" i="14"/>
  <c r="G758" i="5" s="1" a="1"/>
  <c r="G758" i="5" s="1"/>
  <c r="P7" i="14"/>
  <c r="T12" i="14"/>
  <c r="J13" i="14"/>
  <c r="T16" i="14"/>
  <c r="S16" i="14"/>
  <c r="L4" i="14"/>
  <c r="M6" i="14"/>
  <c r="F39" i="19"/>
  <c r="N24" i="14"/>
  <c r="P24" i="14"/>
  <c r="H19" i="14"/>
  <c r="R53" i="14"/>
  <c r="G714" i="5" s="1" a="1"/>
  <c r="G714" i="5" s="1"/>
  <c r="J15" i="14"/>
  <c r="N3" i="14"/>
  <c r="N7" i="14"/>
  <c r="L12" i="14"/>
  <c r="P16" i="14"/>
  <c r="H16" i="14"/>
  <c r="M4" i="14"/>
  <c r="N6" i="14"/>
  <c r="H5" i="14"/>
  <c r="R43" i="14"/>
  <c r="G608" i="5" s="1" a="1"/>
  <c r="G608" i="5" s="1"/>
  <c r="L24" i="14"/>
  <c r="N19" i="14"/>
  <c r="G433" i="5" s="1" a="1"/>
  <c r="G433" i="5" s="1"/>
  <c r="H53" i="14"/>
  <c r="R13" i="14"/>
  <c r="N16" i="14"/>
  <c r="Q24" i="14"/>
  <c r="K19" i="14"/>
  <c r="F29" i="19"/>
  <c r="N15" i="14"/>
  <c r="L3" i="14"/>
  <c r="G47" i="5" s="1" a="1"/>
  <c r="G47" i="5" s="1"/>
  <c r="L7" i="14"/>
  <c r="F42" i="19"/>
  <c r="H13" i="14"/>
  <c r="K16" i="14"/>
  <c r="J16" i="14"/>
  <c r="P4" i="14"/>
  <c r="L15" i="14"/>
  <c r="J3" i="14"/>
  <c r="H7" i="14"/>
  <c r="Q12" i="14"/>
  <c r="P13" i="14"/>
  <c r="F38" i="19"/>
  <c r="H6" i="14"/>
  <c r="J8" i="14"/>
  <c r="K24" i="14"/>
  <c r="G363" i="5" s="1" a="1"/>
  <c r="G363" i="5" s="1"/>
  <c r="J43" i="14"/>
  <c r="G454" i="5" s="1" a="1"/>
  <c r="G454" i="5" s="1"/>
  <c r="L19" i="14"/>
  <c r="G388" i="5" s="1" a="1"/>
  <c r="G388" i="5" s="1"/>
  <c r="M53" i="14"/>
  <c r="G626" i="5" s="1" a="1"/>
  <c r="G626" i="5" s="1"/>
  <c r="M11" i="14"/>
  <c r="N13" i="14"/>
  <c r="T43" i="14"/>
  <c r="G653" i="5" s="1" a="1"/>
  <c r="G653" i="5" s="1"/>
  <c r="L43" i="14"/>
  <c r="G499" i="5" s="1" a="1"/>
  <c r="G499" i="5" s="1"/>
  <c r="J19" i="14"/>
  <c r="G345" i="5" s="1" a="1"/>
  <c r="G345" i="5" s="1"/>
  <c r="F27" i="19"/>
  <c r="J53" i="14"/>
  <c r="G560" i="5" s="1" a="1"/>
  <c r="G560" i="5" s="1"/>
  <c r="N43" i="14"/>
  <c r="G542" i="5" s="1" a="1"/>
  <c r="G542" i="5" s="1"/>
  <c r="R24" i="14"/>
  <c r="Q19" i="14"/>
  <c r="M19" i="14"/>
  <c r="G411" i="5" s="1" a="1"/>
  <c r="G411" i="5" s="1"/>
  <c r="L53" i="14"/>
  <c r="G604" i="5" s="1" a="1"/>
  <c r="G604" i="5" s="1"/>
  <c r="H43" i="14"/>
  <c r="S43" i="14"/>
  <c r="G631" i="5" s="1" a="1"/>
  <c r="G631" i="5" s="1"/>
  <c r="F30" i="19"/>
  <c r="K53" i="14"/>
  <c r="G582" i="5" s="1" a="1"/>
  <c r="G582" i="5" s="1"/>
  <c r="S53" i="14"/>
  <c r="G736" i="5" s="1" a="1"/>
  <c r="G736" i="5" s="1"/>
  <c r="P43" i="14"/>
  <c r="G565" i="5" s="1" a="1"/>
  <c r="G565" i="5" s="1"/>
  <c r="F28" i="19"/>
  <c r="K8" i="14"/>
  <c r="L8" i="14"/>
  <c r="P8" i="14"/>
  <c r="S8" i="14"/>
  <c r="H8" i="14"/>
  <c r="Q8" i="14"/>
  <c r="F45" i="19"/>
  <c r="N8" i="14"/>
  <c r="M8" i="14"/>
  <c r="T8" i="14"/>
  <c r="K10" i="14"/>
  <c r="M10" i="14"/>
  <c r="J10" i="14"/>
  <c r="F36" i="19"/>
  <c r="Q10" i="14"/>
  <c r="L10" i="14"/>
  <c r="G156" i="5" s="1" a="1"/>
  <c r="G156" i="5" s="1"/>
  <c r="S10" i="14"/>
  <c r="N10" i="14"/>
  <c r="H10" i="14"/>
  <c r="T10" i="14"/>
  <c r="P10" i="14"/>
  <c r="F34" i="19"/>
  <c r="T11" i="14"/>
  <c r="T15" i="14"/>
  <c r="Q11" i="14"/>
  <c r="H15" i="14"/>
  <c r="L11" i="14"/>
  <c r="G267" i="5" s="1" a="1"/>
  <c r="G267" i="5" s="1"/>
  <c r="F33" i="19"/>
  <c r="M14" i="14"/>
  <c r="L14" i="14"/>
  <c r="S14" i="14"/>
  <c r="R14" i="14"/>
  <c r="P11" i="14"/>
  <c r="P15" i="14"/>
  <c r="R15" i="14"/>
  <c r="Q15" i="14"/>
  <c r="K15" i="14"/>
  <c r="M15" i="14"/>
  <c r="J11" i="14"/>
  <c r="S11" i="14"/>
  <c r="H11" i="14"/>
  <c r="N11" i="14"/>
  <c r="G310" i="5" s="1" a="1"/>
  <c r="G310" i="5" s="1"/>
  <c r="R2" i="14"/>
  <c r="R12" i="14"/>
  <c r="H12" i="14"/>
  <c r="N12" i="14"/>
  <c r="F44" i="19"/>
  <c r="S6" i="14"/>
  <c r="J5" i="14"/>
  <c r="G5" i="5" s="1" a="1"/>
  <c r="G5" i="5" s="1"/>
  <c r="N9" i="14"/>
  <c r="T9" i="14"/>
  <c r="P9" i="14"/>
  <c r="Q2" i="14"/>
  <c r="L2" i="14"/>
  <c r="T3" i="14"/>
  <c r="S12" i="14"/>
  <c r="T13" i="14"/>
  <c r="F43" i="19"/>
  <c r="S4" i="14"/>
  <c r="H4" i="14"/>
  <c r="L6" i="14"/>
  <c r="G177" i="5" s="1" a="1"/>
  <c r="G177" i="5" s="1"/>
  <c r="Q5" i="14"/>
  <c r="M9" i="14"/>
  <c r="K3" i="14"/>
  <c r="G24" i="5" s="1" a="1"/>
  <c r="G24" i="5" s="1"/>
  <c r="F35" i="19"/>
  <c r="P3" i="14"/>
  <c r="S7" i="14"/>
  <c r="G180" i="5" s="1" a="1"/>
  <c r="G180" i="5" s="1"/>
  <c r="J7" i="14"/>
  <c r="F40" i="19"/>
  <c r="J12" i="14"/>
  <c r="F41" i="19"/>
  <c r="L13" i="14"/>
  <c r="J4" i="14"/>
  <c r="G23" i="5" s="1" a="1"/>
  <c r="G23" i="5" s="1"/>
  <c r="N4" i="14"/>
  <c r="G111" i="5" s="1" a="1"/>
  <c r="G111" i="5" s="1"/>
  <c r="L5" i="14"/>
  <c r="G48" i="5" s="1" a="1"/>
  <c r="G48" i="5" s="1"/>
  <c r="K5" i="14"/>
  <c r="G26" i="5" s="1" a="1"/>
  <c r="G26" i="5" s="1"/>
  <c r="Q9" i="14"/>
  <c r="T5" i="14"/>
  <c r="J6" i="14"/>
  <c r="T6" i="14"/>
  <c r="M5" i="14"/>
  <c r="G70" i="5" s="1" a="1"/>
  <c r="G70" i="5" s="1"/>
  <c r="R5" i="14"/>
  <c r="G174" i="5" l="1" a="1"/>
  <c r="G174" i="5" s="1"/>
  <c r="G44" i="5" a="1"/>
  <c r="G44" i="5" s="1"/>
  <c r="G253" i="5" a="1"/>
  <c r="G253" i="5" s="1"/>
  <c r="G115" i="5" a="1"/>
  <c r="G115" i="5" s="1"/>
  <c r="G429" i="5" a="1"/>
  <c r="G429" i="5" s="1"/>
  <c r="G196" i="5" a="1"/>
  <c r="G196" i="5" s="1"/>
  <c r="G66" i="5" a="1"/>
  <c r="G66" i="5" s="1"/>
  <c r="G133" i="5" a="1"/>
  <c r="G133" i="5" s="1"/>
  <c r="G186" i="5" a="1"/>
  <c r="G186" i="5" s="1"/>
  <c r="G223" i="5" a="1"/>
  <c r="G223" i="5" s="1"/>
  <c r="G68" i="5" a="1"/>
  <c r="G68" i="5" s="1"/>
  <c r="G154" i="5" a="1"/>
  <c r="G154" i="5" s="1"/>
  <c r="G268" i="5" a="1"/>
  <c r="G268" i="5" s="1"/>
  <c r="G235" i="5" a="1"/>
  <c r="G235" i="5" s="1"/>
  <c r="G322" i="5" a="1"/>
  <c r="G322" i="5" s="1"/>
  <c r="G297" i="5" a="1"/>
  <c r="G297" i="5" s="1"/>
  <c r="G164" i="5" a="1"/>
  <c r="G164" i="5" s="1"/>
  <c r="G208" i="5" a="1"/>
  <c r="G208" i="5" s="1"/>
  <c r="G274" i="5" a="1"/>
  <c r="G274" i="5" s="1"/>
  <c r="G296" i="5" a="1"/>
  <c r="G296" i="5" s="1"/>
  <c r="G200" i="5" a="1"/>
  <c r="G200" i="5" s="1"/>
  <c r="G112" i="5" a="1"/>
  <c r="G112" i="5" s="1"/>
  <c r="G179" i="5" a="1"/>
  <c r="G179" i="5" s="1"/>
  <c r="G134" i="5" a="1"/>
  <c r="G134" i="5" s="1"/>
  <c r="G219" i="5" a="1"/>
  <c r="G219" i="5" s="1"/>
  <c r="G152" i="5" a="1"/>
  <c r="G152" i="5" s="1"/>
  <c r="G313" i="5" a="1"/>
  <c r="G313" i="5" s="1"/>
  <c r="G289" i="5" a="1"/>
  <c r="G289" i="5" s="1"/>
  <c r="G130" i="5" a="1"/>
  <c r="G130" i="5" s="1"/>
  <c r="G2" i="5" a="1"/>
  <c r="G2" i="5" s="1"/>
  <c r="G275" i="5" a="1"/>
  <c r="G275" i="5" s="1"/>
  <c r="G158" i="5" a="1"/>
  <c r="G158" i="5" s="1"/>
  <c r="G319" i="5" a="1"/>
  <c r="G319" i="5" s="1"/>
  <c r="G366" i="5" a="1"/>
  <c r="G366" i="5" s="1"/>
  <c r="G385" i="5" a="1"/>
  <c r="G385" i="5" s="1"/>
  <c r="G220" i="5" a="1"/>
  <c r="G220" i="5" s="1"/>
  <c r="G89" i="5" a="1"/>
  <c r="G89" i="5" s="1"/>
  <c r="G278" i="5" a="1"/>
  <c r="G278" i="5" s="1"/>
  <c r="G202" i="5" a="1"/>
  <c r="G202" i="5" s="1"/>
  <c r="G90" i="5" a="1"/>
  <c r="G90" i="5" s="1"/>
  <c r="G231" i="5" a="1"/>
  <c r="G231" i="5" s="1"/>
  <c r="G199" i="5" a="1"/>
  <c r="G199" i="5" s="1"/>
  <c r="G225" i="5" a="1"/>
  <c r="G225" i="5" s="1"/>
  <c r="G341" i="5" a="1"/>
  <c r="G341" i="5" s="1"/>
  <c r="G120" i="5" a="1"/>
  <c r="G120" i="5" s="1"/>
  <c r="G142" i="5" a="1"/>
  <c r="G142" i="5" s="1"/>
  <c r="G137" i="5" a="1"/>
  <c r="G137" i="5" s="1"/>
  <c r="G300" i="5" a="1"/>
  <c r="G300" i="5" s="1"/>
  <c r="G252" i="5" a="1"/>
  <c r="G252" i="5" s="1"/>
  <c r="G246" i="5" a="1"/>
  <c r="G246" i="5" s="1"/>
  <c r="G407" i="5" a="1"/>
  <c r="G407" i="5" s="1"/>
  <c r="G245" i="5" a="1"/>
  <c r="G245" i="5" s="1"/>
  <c r="G257" i="5" a="1"/>
  <c r="G257" i="5" s="1"/>
  <c r="G230" i="5" a="1"/>
  <c r="G230" i="5" s="1"/>
  <c r="G291" i="5" a="1"/>
  <c r="G291" i="5" s="1"/>
  <c r="G32" i="5" a="1"/>
  <c r="G32" i="5" s="1"/>
  <c r="G54" i="5" a="1"/>
  <c r="G54" i="5" s="1"/>
  <c r="G98" i="5" a="1"/>
  <c r="G98" i="5" s="1"/>
  <c r="T57" i="14"/>
  <c r="G772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49163</author>
  </authors>
  <commentList>
    <comment ref="A1" authorId="0" shapeId="0" xr:uid="{410CADAD-229E-4105-B5A5-727DD52AD7CC}">
      <text>
        <r>
          <rPr>
            <b/>
            <sz val="9"/>
            <color indexed="81"/>
            <rFont val="Segoe UI"/>
            <charset val="1"/>
          </rPr>
          <t>49163:</t>
        </r>
        <r>
          <rPr>
            <sz val="9"/>
            <color indexed="81"/>
            <rFont val="Segoe UI"/>
            <charset val="1"/>
          </rPr>
          <t xml:space="preserve">
PK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49163</author>
  </authors>
  <commentList>
    <comment ref="A1" authorId="0" shapeId="0" xr:uid="{5FAA00A3-BB92-43CA-A7C5-C02E7FB16AE7}">
      <text>
        <r>
          <rPr>
            <b/>
            <sz val="9"/>
            <color indexed="81"/>
            <rFont val="Segoe UI"/>
            <charset val="1"/>
          </rPr>
          <t>49163:</t>
        </r>
        <r>
          <rPr>
            <sz val="9"/>
            <color indexed="81"/>
            <rFont val="Segoe UI"/>
            <charset val="1"/>
          </rPr>
          <t xml:space="preserve">
PK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49163</author>
  </authors>
  <commentList>
    <comment ref="A1" authorId="0" shapeId="0" xr:uid="{DCD5384B-B6F9-4BA6-8C67-EA6805742187}">
      <text>
        <r>
          <rPr>
            <b/>
            <sz val="9"/>
            <color indexed="81"/>
            <rFont val="Segoe UI"/>
            <charset val="1"/>
          </rPr>
          <t>49163:</t>
        </r>
        <r>
          <rPr>
            <sz val="9"/>
            <color indexed="81"/>
            <rFont val="Segoe UI"/>
            <charset val="1"/>
          </rPr>
          <t xml:space="preserve">
PK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49163</author>
  </authors>
  <commentList>
    <comment ref="A1" authorId="0" shapeId="0" xr:uid="{D07EDAEC-5CD7-438D-938C-3EDE5AE5994C}">
      <text>
        <r>
          <rPr>
            <b/>
            <sz val="9"/>
            <color indexed="81"/>
            <rFont val="Segoe UI"/>
            <charset val="1"/>
          </rPr>
          <t>49163:</t>
        </r>
        <r>
          <rPr>
            <sz val="9"/>
            <color indexed="81"/>
            <rFont val="Segoe UI"/>
            <charset val="1"/>
          </rPr>
          <t xml:space="preserve">
PK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49163</author>
  </authors>
  <commentList>
    <comment ref="F1" authorId="0" shapeId="0" xr:uid="{417F103F-677B-428B-9989-9A2B4B9C104A}">
      <text>
        <r>
          <rPr>
            <b/>
            <sz val="9"/>
            <color indexed="81"/>
            <rFont val="Segoe UI"/>
            <family val="2"/>
          </rPr>
          <t>49163:</t>
        </r>
        <r>
          <rPr>
            <sz val="9"/>
            <color indexed="81"/>
            <rFont val="Segoe UI"/>
            <family val="2"/>
          </rPr>
          <t xml:space="preserve">
Anzal der Tage, an den er abwesend war </t>
        </r>
      </text>
    </comment>
    <comment ref="G1" authorId="0" shapeId="0" xr:uid="{AD36A227-68A7-4426-99BD-438D3A77E90D}">
      <text>
        <r>
          <rPr>
            <b/>
            <sz val="9"/>
            <color indexed="81"/>
            <rFont val="Segoe UI"/>
            <family val="2"/>
          </rPr>
          <t>49163:</t>
        </r>
        <r>
          <rPr>
            <sz val="9"/>
            <color indexed="81"/>
            <rFont val="Segoe UI"/>
            <family val="2"/>
          </rPr>
          <t xml:space="preserve">
wie viele Tage war er in aktuellen Monat abwesend </t>
        </r>
      </text>
    </comment>
    <comment ref="H1" authorId="0" shapeId="0" xr:uid="{D91649EC-E90B-475D-B352-3BAF535A6422}">
      <text>
        <r>
          <rPr>
            <b/>
            <sz val="9"/>
            <color indexed="81"/>
            <rFont val="Segoe UI"/>
            <family val="2"/>
          </rPr>
          <t>49163:</t>
        </r>
        <r>
          <rPr>
            <sz val="9"/>
            <color indexed="81"/>
            <rFont val="Segoe UI"/>
            <family val="2"/>
          </rPr>
          <t xml:space="preserve">
wie viele Tage war er im nächsten Monat abwesend, 
also wenn die Abwesenheitsdauer 2 Monaten betrifft</t>
        </r>
      </text>
    </comment>
    <comment ref="I1" authorId="0" shapeId="0" xr:uid="{BCE91223-E5F5-451B-ABE0-527870422D06}">
      <text>
        <r>
          <rPr>
            <b/>
            <sz val="9"/>
            <color indexed="81"/>
            <rFont val="Segoe UI"/>
            <family val="2"/>
          </rPr>
          <t>49163:</t>
        </r>
        <r>
          <rPr>
            <sz val="9"/>
            <color indexed="81"/>
            <rFont val="Segoe UI"/>
            <family val="2"/>
          </rPr>
          <t xml:space="preserve">
diese Spalte brauchte ich bei der Berechnung der Kennzahlen in PSFT
also ersterMonat = PSFT.Monat_id</t>
        </r>
      </text>
    </comment>
    <comment ref="J1" authorId="0" shapeId="0" xr:uid="{38EF8701-F7EF-49A6-B23F-0423BAF5B1F0}">
      <text>
        <r>
          <rPr>
            <b/>
            <sz val="9"/>
            <color indexed="81"/>
            <rFont val="Segoe UI"/>
            <family val="2"/>
          </rPr>
          <t>49163:</t>
        </r>
        <r>
          <rPr>
            <sz val="9"/>
            <color indexed="81"/>
            <rFont val="Segoe UI"/>
            <family val="2"/>
          </rPr>
          <t xml:space="preserve">
die Spalten von 1.Montag bis 1. Frietag  brauchte ich für die Berechnung die Wochentagen in PSFT für den aktuellen Monat</t>
        </r>
      </text>
    </comment>
    <comment ref="O1" authorId="0" shapeId="0" xr:uid="{1D3C8DE4-B91E-49F1-BFB6-9F582C34A48B}">
      <text>
        <r>
          <rPr>
            <b/>
            <sz val="9"/>
            <color indexed="81"/>
            <rFont val="Segoe UI"/>
            <family val="2"/>
          </rPr>
          <t>49163:</t>
        </r>
        <r>
          <rPr>
            <sz val="9"/>
            <color indexed="81"/>
            <rFont val="Segoe UI"/>
            <family val="2"/>
          </rPr>
          <t xml:space="preserve">
diese Spalte brauchte ich bei der Berechnung der Kennzahlen in PSFT
also zweiterMonat = PSFT.Monat_id</t>
        </r>
      </text>
    </comment>
    <comment ref="P1" authorId="0" shapeId="0" xr:uid="{0976F711-A11C-4503-BAFD-6ED94B0D4908}">
      <text>
        <r>
          <rPr>
            <b/>
            <sz val="9"/>
            <color indexed="81"/>
            <rFont val="Segoe UI"/>
            <family val="2"/>
          </rPr>
          <t>49163:</t>
        </r>
        <r>
          <rPr>
            <sz val="9"/>
            <color indexed="81"/>
            <rFont val="Segoe UI"/>
            <family val="2"/>
          </rPr>
          <t xml:space="preserve">
die Spalten von 2.Montag bis 2. Frietag  brauchte ich für die Berechnung die Wochentagen in PSFT für den nächsten Monat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49163</author>
  </authors>
  <commentList>
    <comment ref="A1" authorId="0" shapeId="0" xr:uid="{1F9FF303-5382-4316-B8AA-E3BE87C1B1C8}">
      <text>
        <r>
          <rPr>
            <b/>
            <sz val="9"/>
            <color indexed="81"/>
            <rFont val="Segoe UI"/>
            <family val="2"/>
          </rPr>
          <t>49163:</t>
        </r>
        <r>
          <rPr>
            <sz val="9"/>
            <color indexed="81"/>
            <rFont val="Segoe UI"/>
            <family val="2"/>
          </rPr>
          <t xml:space="preserve">
PK; FK(DIM_Datum)</t>
        </r>
      </text>
    </comment>
    <comment ref="B1" authorId="0" shapeId="0" xr:uid="{8BE34C77-439E-4BB7-A4D7-0032A2483643}">
      <text>
        <r>
          <rPr>
            <b/>
            <sz val="9"/>
            <color indexed="81"/>
            <rFont val="Segoe UI"/>
            <family val="2"/>
          </rPr>
          <t>49163:</t>
        </r>
        <r>
          <rPr>
            <sz val="9"/>
            <color indexed="81"/>
            <rFont val="Segoe UI"/>
            <family val="2"/>
          </rPr>
          <t xml:space="preserve">
PK; FK(DIM_Wochentag)</t>
        </r>
      </text>
    </comment>
    <comment ref="C1" authorId="0" shapeId="0" xr:uid="{BEDD29C1-C187-4ADF-8394-5C0D98FF62A8}">
      <text>
        <r>
          <rPr>
            <b/>
            <sz val="9"/>
            <color indexed="81"/>
            <rFont val="Segoe UI"/>
            <family val="2"/>
          </rPr>
          <t>49163:</t>
        </r>
        <r>
          <rPr>
            <sz val="9"/>
            <color indexed="81"/>
            <rFont val="Segoe UI"/>
            <family val="2"/>
          </rPr>
          <t xml:space="preserve">
PK; FK (DIM_Mitarbeiter)</t>
        </r>
      </text>
    </comment>
    <comment ref="D1" authorId="0" shapeId="0" xr:uid="{3232D415-F586-47BA-982F-3C7B4460A8B0}">
      <text>
        <r>
          <rPr>
            <b/>
            <sz val="9"/>
            <color indexed="81"/>
            <rFont val="Segoe UI"/>
            <charset val="1"/>
          </rPr>
          <t>49163:</t>
        </r>
        <r>
          <rPr>
            <sz val="9"/>
            <color indexed="81"/>
            <rFont val="Segoe UI"/>
            <charset val="1"/>
          </rPr>
          <t xml:space="preserve">
FK(DIM_Mitarbiter)  ich habe die Abteilungscode gebraucht als Hilfsspalte für die Berichterstellung </t>
        </r>
      </text>
    </comment>
    <comment ref="F1" authorId="0" shapeId="0" xr:uid="{4739A1EA-8EBC-4439-A6A9-6B5F02016DCF}">
      <text>
        <r>
          <rPr>
            <b/>
            <sz val="9"/>
            <color indexed="81"/>
            <rFont val="Segoe UI"/>
            <charset val="1"/>
          </rPr>
          <t>49163:</t>
        </r>
        <r>
          <rPr>
            <sz val="9"/>
            <color indexed="81"/>
            <rFont val="Segoe UI"/>
            <charset val="1"/>
          </rPr>
          <t xml:space="preserve">
Fakt
mit der Funktion Nettoarbeitstage wird die Sollarbeitstage gerechnet, indem die Funktion die gesamtanzahl der Wochtagen jenach Wochentag_ID für jeden Monat ohne Feiertage ermittelt.
zB: wie viele Montagen als Arbietstag werden in Januar vorkommen.</t>
        </r>
      </text>
    </comment>
    <comment ref="G1" authorId="0" shapeId="0" xr:uid="{6E0AC674-1C56-4A5F-9488-F558AB69447B}">
      <text>
        <r>
          <rPr>
            <b/>
            <sz val="9"/>
            <color indexed="81"/>
            <rFont val="Segoe UI"/>
            <charset val="1"/>
          </rPr>
          <t>49163:</t>
        </r>
        <r>
          <rPr>
            <sz val="9"/>
            <color indexed="81"/>
            <rFont val="Segoe UI"/>
            <charset val="1"/>
          </rPr>
          <t xml:space="preserve">
Fakt
der Summebereich in Summewenn-Funktion wird mit wenn-Fuktion festgelegt, indem Wochentag_ID die Matrix bestimmt.
zB: wenn Wochentag_Id 1 dann Summebereich ist die Matrix (1.Montag) in Rochdatentabelle + die Matrix 2.Montag
wenn die Zeitperiode umfasst 2 Monaten
zB: von Januar bis Februar 
dann 1. Montag ist für Januar und 2. Montag für Februar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49163</author>
  </authors>
  <commentList>
    <comment ref="A1" authorId="0" shapeId="0" xr:uid="{925F8955-9278-4A6D-B2AB-37DCFA146315}">
      <text>
        <r>
          <rPr>
            <b/>
            <sz val="9"/>
            <color indexed="81"/>
            <rFont val="Segoe UI"/>
            <charset val="1"/>
          </rPr>
          <t>49163:</t>
        </r>
        <r>
          <rPr>
            <sz val="9"/>
            <color indexed="81"/>
            <rFont val="Segoe UI"/>
            <charset val="1"/>
          </rPr>
          <t xml:space="preserve">
PK</t>
        </r>
      </text>
    </comment>
    <comment ref="B1" authorId="0" shapeId="0" xr:uid="{2E4DE86C-1694-4A6E-8C3B-EA969A73E641}">
      <text>
        <r>
          <rPr>
            <b/>
            <sz val="9"/>
            <color indexed="81"/>
            <rFont val="Segoe UI"/>
            <family val="2"/>
          </rPr>
          <t>49163:</t>
        </r>
        <r>
          <rPr>
            <sz val="9"/>
            <color indexed="81"/>
            <rFont val="Segoe UI"/>
            <family val="2"/>
          </rPr>
          <t xml:space="preserve">
FK(Rohdaten)
Ich habe den nächten Arbeitstag nach der Abwesenheit mit der Funktion  Arbeitstag(vom Enddatum in Rohdaten )berechnet</t>
        </r>
      </text>
    </comment>
    <comment ref="C1" authorId="0" shapeId="0" xr:uid="{F78F227E-7796-4C66-AEA5-716B0526AD61}">
      <text>
        <r>
          <rPr>
            <b/>
            <sz val="9"/>
            <color indexed="81"/>
            <rFont val="Segoe UI"/>
            <charset val="1"/>
          </rPr>
          <t>49163:</t>
        </r>
        <r>
          <rPr>
            <sz val="9"/>
            <color indexed="81"/>
            <rFont val="Segoe UI"/>
            <charset val="1"/>
          </rPr>
          <t xml:space="preserve">
FK(DIM_Mitarbeiter)</t>
        </r>
      </text>
    </comment>
    <comment ref="D1" authorId="0" shapeId="0" xr:uid="{6027C997-6B4D-4B2C-BA39-896B3AADAFDC}">
      <text>
        <r>
          <rPr>
            <b/>
            <sz val="9"/>
            <color indexed="81"/>
            <rFont val="Segoe UI"/>
            <charset val="1"/>
          </rPr>
          <t>49163:</t>
        </r>
        <r>
          <rPr>
            <sz val="9"/>
            <color indexed="81"/>
            <rFont val="Segoe UI"/>
            <charset val="1"/>
          </rPr>
          <t xml:space="preserve">
FK(Dim_Abteilung)</t>
        </r>
      </text>
    </comment>
    <comment ref="E1" authorId="0" shapeId="0" xr:uid="{10C8FCE8-FD4E-4FC7-A4C1-81AE616EDB23}">
      <text>
        <r>
          <rPr>
            <b/>
            <sz val="9"/>
            <color indexed="81"/>
            <rFont val="Segoe UI"/>
            <family val="2"/>
          </rPr>
          <t>49163:</t>
        </r>
        <r>
          <rPr>
            <sz val="9"/>
            <color indexed="81"/>
            <rFont val="Segoe UI"/>
            <family val="2"/>
          </rPr>
          <t xml:space="preserve">
FK</t>
        </r>
      </text>
    </comment>
    <comment ref="F1" authorId="0" shapeId="0" xr:uid="{A76E0F2C-6ABA-41AC-863E-C2905B3948EA}">
      <text>
        <r>
          <rPr>
            <b/>
            <sz val="9"/>
            <color indexed="81"/>
            <rFont val="Segoe UI"/>
            <charset val="1"/>
          </rPr>
          <t>49163:</t>
        </r>
        <r>
          <rPr>
            <sz val="9"/>
            <color indexed="81"/>
            <rFont val="Segoe UI"/>
            <charset val="1"/>
          </rPr>
          <t xml:space="preserve">
Fakt:
Anzahl der Abwesenheitstage für jedes Ereignis 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Sascha</author>
  </authors>
  <commentList>
    <comment ref="J1" authorId="0" shapeId="0" xr:uid="{812155DF-0241-45B1-8E09-2F134C7E8F1D}">
      <text>
        <r>
          <rPr>
            <b/>
            <sz val="9"/>
            <color indexed="81"/>
            <rFont val="Segoe UI"/>
            <charset val="1"/>
          </rPr>
          <t>Sascha:</t>
        </r>
        <r>
          <rPr>
            <sz val="9"/>
            <color indexed="81"/>
            <rFont val="Segoe UI"/>
            <charset val="1"/>
          </rPr>
          <t xml:space="preserve">
 NETTOARBEITSTAGE.INTL(
   [@[von_Datum]];
   [@[bis_Datum]];
   "0111111"; -- hier wird wird nur Monatg berücksichtigt
   Feiertage[[Datum ]]
 )
 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<sst xmlns="http://schemas.openxmlformats.org/spreadsheetml/2006/main" count="2191" uniqueCount="280">
  <si>
    <t>Feiertag</t>
  </si>
  <si>
    <t xml:space="preserve">Datum </t>
  </si>
  <si>
    <t xml:space="preserve">Tag </t>
  </si>
  <si>
    <t>KW</t>
  </si>
  <si>
    <t>Neujahr</t>
  </si>
  <si>
    <t>Samstag</t>
  </si>
  <si>
    <t>Feiertage von NRW für das Jahr 2022  und 2023</t>
  </si>
  <si>
    <t>Karfreitag</t>
  </si>
  <si>
    <t>Freitag</t>
  </si>
  <si>
    <t>Ostermontag</t>
  </si>
  <si>
    <t>Montag</t>
  </si>
  <si>
    <t>Tag der Arbeit</t>
  </si>
  <si>
    <t>Sonntag</t>
  </si>
  <si>
    <t>Christi Himmelfahrt</t>
  </si>
  <si>
    <t>Donnerstag</t>
  </si>
  <si>
    <t>Pfingstmontag</t>
  </si>
  <si>
    <t>Fronleichnam</t>
  </si>
  <si>
    <t>Tag der Deutschen Einheit</t>
  </si>
  <si>
    <t>Allerheiligen</t>
  </si>
  <si>
    <t>Dienstag</t>
  </si>
  <si>
    <t>1.Weihnachten</t>
  </si>
  <si>
    <t>2. Weihnachtstag</t>
  </si>
  <si>
    <t xml:space="preserve">Donnerstag </t>
  </si>
  <si>
    <t xml:space="preserve">Mittwoch </t>
  </si>
  <si>
    <t>1. Weihnachtsfeiertag</t>
  </si>
  <si>
    <t xml:space="preserve">Montag </t>
  </si>
  <si>
    <t>2. Weihnachtsfeiertag</t>
  </si>
  <si>
    <t>Monat_ID</t>
  </si>
  <si>
    <t>Jahr</t>
  </si>
  <si>
    <t>Monat</t>
  </si>
  <si>
    <t>Monatsanfang</t>
  </si>
  <si>
    <t>Monatsende</t>
  </si>
  <si>
    <t>Wochentag_ID</t>
  </si>
  <si>
    <t>Beschreibung</t>
  </si>
  <si>
    <t>Mittwoch</t>
  </si>
  <si>
    <t>Mitabiter_ID</t>
  </si>
  <si>
    <t>Vorname</t>
  </si>
  <si>
    <t xml:space="preserve">Nachname </t>
  </si>
  <si>
    <t>Abteilungscode</t>
  </si>
  <si>
    <t>YB</t>
  </si>
  <si>
    <t xml:space="preserve">Yassin </t>
  </si>
  <si>
    <t>Bono</t>
  </si>
  <si>
    <t>VERW</t>
  </si>
  <si>
    <t>AH</t>
  </si>
  <si>
    <t>Achraf</t>
  </si>
  <si>
    <t>Hakimi</t>
  </si>
  <si>
    <t>SB</t>
  </si>
  <si>
    <t>Soufiane</t>
  </si>
  <si>
    <t>Boufal</t>
  </si>
  <si>
    <t>PROD</t>
  </si>
  <si>
    <t>AO</t>
  </si>
  <si>
    <t xml:space="preserve">Azzedine </t>
  </si>
  <si>
    <t xml:space="preserve">Onahi </t>
  </si>
  <si>
    <t>HZ</t>
  </si>
  <si>
    <t>Hakim</t>
  </si>
  <si>
    <t>Ziyach</t>
  </si>
  <si>
    <t>AD</t>
  </si>
  <si>
    <t xml:space="preserve">Achraf </t>
  </si>
  <si>
    <t>Dari</t>
  </si>
  <si>
    <t>VERKAUF</t>
  </si>
  <si>
    <t>BB</t>
  </si>
  <si>
    <t>Bard</t>
  </si>
  <si>
    <t>Banoun</t>
  </si>
  <si>
    <t>IO</t>
  </si>
  <si>
    <t>Ismail</t>
  </si>
  <si>
    <t>Ouabi</t>
  </si>
  <si>
    <t>AS</t>
  </si>
  <si>
    <t xml:space="preserve">Alexander </t>
  </si>
  <si>
    <t>Schmidt</t>
  </si>
  <si>
    <t>CL</t>
  </si>
  <si>
    <t xml:space="preserve">Christian </t>
  </si>
  <si>
    <t>Ludwig</t>
  </si>
  <si>
    <t>JS</t>
  </si>
  <si>
    <t xml:space="preserve">Julian </t>
  </si>
  <si>
    <t>Szudrowicz</t>
  </si>
  <si>
    <t>Abteilungsname</t>
  </si>
  <si>
    <t>Verwaltung</t>
  </si>
  <si>
    <t>Produktion</t>
  </si>
  <si>
    <t>Verkauf</t>
  </si>
  <si>
    <t>Code</t>
  </si>
  <si>
    <t>Bescheibung</t>
  </si>
  <si>
    <t>KRANK</t>
  </si>
  <si>
    <t>Krank</t>
  </si>
  <si>
    <t>URLAUB</t>
  </si>
  <si>
    <t>Urlaub</t>
  </si>
  <si>
    <t>Mitarbeiter_ID</t>
  </si>
  <si>
    <t>von_Datum</t>
  </si>
  <si>
    <t>bis_Datum</t>
  </si>
  <si>
    <t>Abwesenheitsgrund</t>
  </si>
  <si>
    <t>Gesamtabwesenheit</t>
  </si>
  <si>
    <t>aktueller Monat</t>
  </si>
  <si>
    <t>nächster Monat</t>
  </si>
  <si>
    <t>ersterMonat</t>
  </si>
  <si>
    <t>1.Montag</t>
  </si>
  <si>
    <t>1.Dienstag</t>
  </si>
  <si>
    <t>1.Mittwoch</t>
  </si>
  <si>
    <t>1.Donnerstag</t>
  </si>
  <si>
    <t>1.Freitag</t>
  </si>
  <si>
    <t>zweiterMonat</t>
  </si>
  <si>
    <t>2.Montag</t>
  </si>
  <si>
    <t>2.Dienstag</t>
  </si>
  <si>
    <t>2.Mittwoch</t>
  </si>
  <si>
    <t>2.Donnerstag</t>
  </si>
  <si>
    <t>2.Freitag</t>
  </si>
  <si>
    <t>Ergebnis</t>
  </si>
  <si>
    <t>Datum_ID</t>
  </si>
  <si>
    <t>Arbeitstag</t>
  </si>
  <si>
    <t>Wochentag_Id</t>
  </si>
  <si>
    <t>Mitarbiter_ID</t>
  </si>
  <si>
    <t>Sollarbeitstage</t>
  </si>
  <si>
    <t>Anzahl der Abwesenheitstagen</t>
  </si>
  <si>
    <t>TFT_Id</t>
  </si>
  <si>
    <t>Erster Arbeitstag nach der Abwesenheit</t>
  </si>
  <si>
    <t>ASFT_ID</t>
  </si>
  <si>
    <t>ab hier FK</t>
  </si>
  <si>
    <t>Mitarbeitercode</t>
  </si>
  <si>
    <t>ab hier Fakten</t>
  </si>
  <si>
    <t>Dauer_Abwesenheit_Tage</t>
  </si>
  <si>
    <t>Abwesenheiten_Montage</t>
  </si>
  <si>
    <t>Abwesenheiten_NichtMontag</t>
  </si>
  <si>
    <t>Field</t>
  </si>
  <si>
    <t>Type</t>
  </si>
  <si>
    <t>Spec.</t>
  </si>
  <si>
    <t>Description</t>
  </si>
  <si>
    <t>Abwesenheitscode</t>
  </si>
  <si>
    <t>PK</t>
  </si>
  <si>
    <t>Abwesenheitsgrund als Text</t>
  </si>
  <si>
    <t>Monat_Jahr_ID</t>
  </si>
  <si>
    <t>Monat und Jahr Identifikation</t>
  </si>
  <si>
    <t>Integer</t>
  </si>
  <si>
    <t> </t>
  </si>
  <si>
    <t>Das Jahr</t>
  </si>
  <si>
    <t>Text('MMM')</t>
  </si>
  <si>
    <t>Datum</t>
  </si>
  <si>
    <t>Beginn des Monats</t>
  </si>
  <si>
    <t>Ende des Monats</t>
  </si>
  <si>
    <t>Prozess Identifikation</t>
  </si>
  <si>
    <t>Date</t>
  </si>
  <si>
    <t>FK zu Arbeitstage_tab</t>
  </si>
  <si>
    <t>FK zu Dim_Mitarbeiter</t>
  </si>
  <si>
    <t>Mitarbeiter Identifikation</t>
  </si>
  <si>
    <t>Text</t>
  </si>
  <si>
    <t>FK zu Dim_Abteilung</t>
  </si>
  <si>
    <t>Name der Abteilung</t>
  </si>
  <si>
    <t>FK zu Dim_Abwesenheitsgrund</t>
  </si>
  <si>
    <t xml:space="preserve">Vorname </t>
  </si>
  <si>
    <t>Vorname des Mitarbeiters</t>
  </si>
  <si>
    <t>Dauer_Abwesenheiten_Tage</t>
  </si>
  <si>
    <t>Fakt</t>
  </si>
  <si>
    <t>Zählt die Nettoarbeitstage zwischen den Zeitstempel</t>
  </si>
  <si>
    <t>Nachname</t>
  </si>
  <si>
    <t>Nachname des Mitarbeiters</t>
  </si>
  <si>
    <t>Zählt die Abwesenheiten an Montagen innerhalb der Zeitstempel</t>
  </si>
  <si>
    <t>FK</t>
  </si>
  <si>
    <t>Abteilungkürzel</t>
  </si>
  <si>
    <t>Abwesenheiten_NichtMontage</t>
  </si>
  <si>
    <t>Differenz Dauer_Abwesenheiten_Tage und Abwesenheiten_Montage</t>
  </si>
  <si>
    <t>Abteilungskürzel</t>
  </si>
  <si>
    <t>Code (1)</t>
  </si>
  <si>
    <t>Code[10]</t>
  </si>
  <si>
    <t>Unit of Measure (3)</t>
  </si>
  <si>
    <t>FK zu Human Resource Unit of Measure</t>
  </si>
  <si>
    <t>Einheiten der Abwesenheit</t>
  </si>
  <si>
    <t>Total Absence (4)</t>
  </si>
  <si>
    <t>Decimal</t>
  </si>
  <si>
    <t>Gesamtabwesenheit des Grundes</t>
  </si>
  <si>
    <t>Decription</t>
  </si>
  <si>
    <t>(Global Dimension 1 Filter) (5)</t>
  </si>
  <si>
    <t>Code[20]</t>
  </si>
  <si>
    <t>Integer(Frage Freitag)</t>
  </si>
  <si>
    <t xml:space="preserve">Wochentag Identifikation </t>
  </si>
  <si>
    <t>(Global Dimension 2 Filter) (6)</t>
  </si>
  <si>
    <t>Name des Wochentags zu der ID</t>
  </si>
  <si>
    <t>Employee No. Filter (7)</t>
  </si>
  <si>
    <t>Filter auf Mitarbeiter</t>
  </si>
  <si>
    <t>Date Filter</t>
  </si>
  <si>
    <t>Filter auf Datum</t>
  </si>
  <si>
    <t>PK,FK zu Dim_Monat</t>
  </si>
  <si>
    <t>PK,FK zu Dim_Wochentag</t>
  </si>
  <si>
    <t>Employee No. (1)</t>
  </si>
  <si>
    <t>PK,FK zu Dim_Mitarbeiter</t>
  </si>
  <si>
    <t>Entry No. (2)</t>
  </si>
  <si>
    <t>Eingangsnummer der Abwesenheit</t>
  </si>
  <si>
    <t>PK,FK zu Dim_Abwesenheitsgrund</t>
  </si>
  <si>
    <t>Grund der Abwesenheit</t>
  </si>
  <si>
    <t>From Date (3)</t>
  </si>
  <si>
    <t>Beginn der Abwesenheit</t>
  </si>
  <si>
    <t>PK,FK zu Dim_Abteilung</t>
  </si>
  <si>
    <t>To Date (4)</t>
  </si>
  <si>
    <t>Ende der Abwesenheit</t>
  </si>
  <si>
    <t>Sollarbeitstag</t>
  </si>
  <si>
    <t>Zählt die Nettoarbeitstage in einem Monat/Jahr in einer Woche</t>
  </si>
  <si>
    <t>Cause of Absence Code (5)</t>
  </si>
  <si>
    <t>FK zu Cause of Absence</t>
  </si>
  <si>
    <t>Anzahl der Abwesenheitstage</t>
  </si>
  <si>
    <t>Zählt die wöchentlichen Abwesenheitstage</t>
  </si>
  <si>
    <t>Quantity (7)</t>
  </si>
  <si>
    <t>Menge</t>
  </si>
  <si>
    <t>(Anzahl der Abwesenheiten an Montagen)</t>
  </si>
  <si>
    <t>Zählt die Abwesenheitstage an Montagen</t>
  </si>
  <si>
    <t>Unit of Measure Code (8)</t>
  </si>
  <si>
    <t>Einheit (Tag oder Stunde)</t>
  </si>
  <si>
    <t>(Sollarbeitstage an Montagen)</t>
  </si>
  <si>
    <t>Zählt die Abwesenheiten an Montagen</t>
  </si>
  <si>
    <t>Quality Base (12)</t>
  </si>
  <si>
    <t>Berechnung auf eine Einheit</t>
  </si>
  <si>
    <t>Qty. Per Unit of Measure</t>
  </si>
  <si>
    <t>???</t>
  </si>
  <si>
    <t>TFT_ID</t>
  </si>
  <si>
    <t>Identifikation des TFT Datensatzes</t>
  </si>
  <si>
    <t>Tag_ID</t>
  </si>
  <si>
    <t>Datum des TFT Datensatzes</t>
  </si>
  <si>
    <t>Systemtabelle Date</t>
  </si>
  <si>
    <t>Period Type (1)</t>
  </si>
  <si>
    <t>Option</t>
  </si>
  <si>
    <t>Peioden Typ : Date, Week, Month, Quarter, Year</t>
  </si>
  <si>
    <t>Period Start (2)</t>
  </si>
  <si>
    <t>Anfang der Periode</t>
  </si>
  <si>
    <t>DauerAbwesen</t>
  </si>
  <si>
    <t>Period End (3)</t>
  </si>
  <si>
    <t>Ende der Periode</t>
  </si>
  <si>
    <t>Period No. (4)</t>
  </si>
  <si>
    <t>Nummer der Periode</t>
  </si>
  <si>
    <t>Period Name (5)</t>
  </si>
  <si>
    <t>Text (31)</t>
  </si>
  <si>
    <t>Name der Periode</t>
  </si>
  <si>
    <t>No.(1)</t>
  </si>
  <si>
    <t>Mitarbeiternummer</t>
  </si>
  <si>
    <t>First Name (2)</t>
  </si>
  <si>
    <t>Text[30]</t>
  </si>
  <si>
    <t>Last Name (4)</t>
  </si>
  <si>
    <t xml:space="preserve">Datum_ID </t>
  </si>
  <si>
    <t>Initials (5)</t>
  </si>
  <si>
    <t xml:space="preserve">Initialien aus Vorname und Nachname;
 Search Name = erster Buchstabe von Vorname und Nachname und großgeschrieben </t>
  </si>
  <si>
    <t xml:space="preserve">Wochentag_ID </t>
  </si>
  <si>
    <t xml:space="preserve">FK zu Wochentag </t>
  </si>
  <si>
    <t>Job Title (6)</t>
  </si>
  <si>
    <t>Funktion im Unternehmen</t>
  </si>
  <si>
    <t xml:space="preserve">Arbeitstage </t>
  </si>
  <si>
    <t>Search Name (7)</t>
  </si>
  <si>
    <t>Code[250]</t>
  </si>
  <si>
    <t xml:space="preserve">Text </t>
  </si>
  <si>
    <t>Date Filter (41)</t>
  </si>
  <si>
    <t>Filter für das Datum</t>
  </si>
  <si>
    <t>Cause of Absence Filter (44)</t>
  </si>
  <si>
    <t>Filter für den Abwesenheitsgrund</t>
  </si>
  <si>
    <t>Total Absence (45)</t>
  </si>
  <si>
    <t>Berechnet die Gesamtabwesenheit für einen Mitarbeiter</t>
  </si>
  <si>
    <t>(Employee No. Filter) 47</t>
  </si>
  <si>
    <t>Summe von Wochenquote</t>
  </si>
  <si>
    <t>Spaltenbeschriftungen</t>
  </si>
  <si>
    <t>Zeilenbeschriftungen</t>
  </si>
  <si>
    <t>Gesamtergebnis</t>
  </si>
  <si>
    <t>Monate</t>
  </si>
  <si>
    <t>(Alle)</t>
  </si>
  <si>
    <t>Summe von Anzahl der Abwesenheitstagen</t>
  </si>
  <si>
    <t>Jahre</t>
  </si>
  <si>
    <t>Summe von Krankheitsquote</t>
  </si>
  <si>
    <t>Jan</t>
  </si>
  <si>
    <t>Jul</t>
  </si>
  <si>
    <t>Aug</t>
  </si>
  <si>
    <t>Sep</t>
  </si>
  <si>
    <t>Okt</t>
  </si>
  <si>
    <t>Nov</t>
  </si>
  <si>
    <t>Dez</t>
  </si>
  <si>
    <t>Dim_Monat</t>
  </si>
  <si>
    <t>Dim_Mitarbeiter</t>
  </si>
  <si>
    <t xml:space="preserve"> Dim_Abteilung</t>
  </si>
  <si>
    <t>Dim_Wochentag</t>
  </si>
  <si>
    <t>Dim_Abwesenheitsgrund</t>
  </si>
  <si>
    <t>Dim_Arbeitstage</t>
  </si>
  <si>
    <t xml:space="preserve"> 5206 Cause of Absence</t>
  </si>
  <si>
    <t xml:space="preserve"> 5207 Employee Absence</t>
  </si>
  <si>
    <t>5200 Employee</t>
  </si>
  <si>
    <t>ASFT</t>
  </si>
  <si>
    <t>PSFT</t>
  </si>
  <si>
    <t>TFT</t>
  </si>
  <si>
    <t>müssen wir selber anlagen</t>
  </si>
  <si>
    <t>Quartal</t>
  </si>
  <si>
    <t xml:space="preserve">Ich habe hier Zeitraum von 07.2022  bis 1.2023 betrachtet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</si>
</sst>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7]mmmm\ yy;@"/>
    <numFmt numFmtId="165" formatCode="mmyyyy"/>
    <numFmt numFmtId="166" formatCode="mmm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theme="9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b/>
      <sz val="11"/>
      <color rgb="FF0070C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5B9BD5"/>
        <bgColor rgb="FF5B9BD5"/>
      </patternFill>
    </fill>
    <fill>
      <patternFill patternType="solid">
        <fgColor rgb="FFDDEBF7"/>
        <bgColor rgb="FFDDEBF7"/>
      </patternFill>
    </fill>
    <fill>
      <patternFill patternType="solid">
        <fgColor rgb="FFED7D31"/>
        <bgColor rgb="FFED7D31"/>
      </patternFill>
    </fill>
    <fill>
      <patternFill patternType="solid">
        <fgColor rgb="FFFCE4D6"/>
        <bgColor rgb="FFFCE4D6"/>
      </patternFill>
    </fill>
    <fill>
      <patternFill patternType="solid">
        <fgColor rgb="FF70AD47"/>
        <bgColor rgb="FF70AD47"/>
      </patternFill>
    </fill>
    <fill>
      <patternFill patternType="solid">
        <fgColor rgb="FFE2EFDA"/>
        <bgColor rgb="FFE2EFDA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/>
      <diagonal/>
    </border>
    <border>
      <left style="thin">
        <color rgb="FF9BC2E6"/>
      </left>
      <right/>
      <top style="thin">
        <color rgb="FF9BC2E6"/>
      </top>
      <bottom style="thin">
        <color rgb="FF9BC2E6"/>
      </bottom>
      <diagonal/>
    </border>
    <border>
      <left/>
      <right/>
      <top style="thin">
        <color rgb="FF9BC2E6"/>
      </top>
      <bottom style="thin">
        <color rgb="FF9BC2E6"/>
      </bottom>
      <diagonal/>
    </border>
    <border>
      <left/>
      <right style="thin">
        <color rgb="FF9BC2E6"/>
      </right>
      <top style="thin">
        <color rgb="FF9BC2E6"/>
      </top>
      <bottom style="thin">
        <color rgb="FF9BC2E6"/>
      </bottom>
      <diagonal/>
    </border>
    <border>
      <left style="thin">
        <color rgb="FFF4B084"/>
      </left>
      <right/>
      <top style="thin">
        <color rgb="FFF4B084"/>
      </top>
      <bottom style="thin">
        <color rgb="FFF4B084"/>
      </bottom>
      <diagonal/>
    </border>
    <border>
      <left/>
      <right/>
      <top style="thin">
        <color rgb="FFF4B084"/>
      </top>
      <bottom style="thin">
        <color rgb="FFF4B084"/>
      </bottom>
      <diagonal/>
    </border>
    <border>
      <left/>
      <right style="thin">
        <color rgb="FFF4B084"/>
      </right>
      <top style="thin">
        <color rgb="FFF4B084"/>
      </top>
      <bottom style="thin">
        <color rgb="FFF4B084"/>
      </bottom>
      <diagonal/>
    </border>
    <border>
      <left style="thin">
        <color rgb="FFA9D08E"/>
      </left>
      <right/>
      <top style="thin">
        <color rgb="FFA9D08E"/>
      </top>
      <bottom style="thin">
        <color rgb="FFA9D08E"/>
      </bottom>
      <diagonal/>
    </border>
    <border>
      <left/>
      <right/>
      <top style="thin">
        <color rgb="FFA9D08E"/>
      </top>
      <bottom style="thin">
        <color rgb="FFA9D08E"/>
      </bottom>
      <diagonal/>
    </border>
    <border>
      <left/>
      <right style="thin">
        <color rgb="FFA9D08E"/>
      </right>
      <top style="thin">
        <color rgb="FFA9D08E"/>
      </top>
      <bottom style="thin">
        <color rgb="FFA9D08E"/>
      </bottom>
      <diagonal/>
    </border>
    <border>
      <left style="thin">
        <color rgb="FF9BC2E6"/>
      </left>
      <right/>
      <top style="thin">
        <color rgb="FF9BC2E6"/>
      </top>
      <bottom/>
      <diagonal/>
    </border>
    <border>
      <left/>
      <right/>
      <top style="thin">
        <color rgb="FF9BC2E6"/>
      </top>
      <bottom/>
      <diagonal/>
    </border>
    <border>
      <left/>
      <right style="thin">
        <color rgb="FF9BC2E6"/>
      </right>
      <top style="thin">
        <color rgb="FF9BC2E6"/>
      </top>
      <bottom/>
      <diagonal/>
    </border>
    <border>
      <left style="thin">
        <color rgb="FFA9D08E"/>
      </left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8">
    <xf numFmtId="0" fontId="0" fillId="0" borderId="0" xfId="0"/>
    <xf numFmtId="0" fontId="0" fillId="0" borderId="5" xfId="0" applyBorder="1"/>
    <xf numFmtId="0" fontId="0" fillId="0" borderId="4" xfId="0" applyBorder="1"/>
    <xf numFmtId="14" fontId="0" fillId="0" borderId="0" xfId="0" applyNumberFormat="1"/>
    <xf numFmtId="0" fontId="4" fillId="2" borderId="4" xfId="0" applyFont="1" applyFill="1" applyBorder="1"/>
    <xf numFmtId="164" fontId="0" fillId="0" borderId="0" xfId="0" applyNumberFormat="1"/>
    <xf numFmtId="0" fontId="0" fillId="3" borderId="0" xfId="0" applyFill="1"/>
    <xf numFmtId="0" fontId="0" fillId="4" borderId="0" xfId="0" applyFill="1"/>
    <xf numFmtId="165" fontId="0" fillId="0" borderId="0" xfId="0" applyNumberFormat="1"/>
    <xf numFmtId="0" fontId="0" fillId="3" borderId="7" xfId="0" applyFill="1" applyBorder="1"/>
    <xf numFmtId="0" fontId="2" fillId="0" borderId="0" xfId="1" applyFont="1" applyBorder="1"/>
    <xf numFmtId="0" fontId="8" fillId="8" borderId="3" xfId="0" applyFont="1" applyFill="1" applyBorder="1"/>
    <xf numFmtId="0" fontId="8" fillId="8" borderId="6" xfId="0" applyFont="1" applyFill="1" applyBorder="1"/>
    <xf numFmtId="0" fontId="8" fillId="0" borderId="0" xfId="0" applyFont="1"/>
    <xf numFmtId="0" fontId="8" fillId="7" borderId="6" xfId="0" applyFont="1" applyFill="1" applyBorder="1"/>
    <xf numFmtId="0" fontId="8" fillId="6" borderId="6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7" xfId="0" applyBorder="1"/>
    <xf numFmtId="0" fontId="7" fillId="0" borderId="0" xfId="0" applyFont="1"/>
    <xf numFmtId="1" fontId="0" fillId="5" borderId="0" xfId="0" applyNumberFormat="1" applyFill="1"/>
    <xf numFmtId="10" fontId="0" fillId="0" borderId="0" xfId="0" applyNumberFormat="1"/>
    <xf numFmtId="0" fontId="8" fillId="4" borderId="4" xfId="0" applyFont="1" applyFill="1" applyBorder="1"/>
    <xf numFmtId="0" fontId="0" fillId="4" borderId="8" xfId="0" applyFill="1" applyBorder="1"/>
    <xf numFmtId="166" fontId="0" fillId="0" borderId="0" xfId="0" applyNumberFormat="1"/>
    <xf numFmtId="0" fontId="2" fillId="0" borderId="0" xfId="0" applyFont="1"/>
    <xf numFmtId="0" fontId="8" fillId="6" borderId="5" xfId="0" applyFont="1" applyFill="1" applyBorder="1"/>
    <xf numFmtId="0" fontId="8" fillId="9" borderId="5" xfId="0" applyFont="1" applyFill="1" applyBorder="1"/>
    <xf numFmtId="0" fontId="0" fillId="4" borderId="7" xfId="0" applyFill="1" applyBorder="1"/>
    <xf numFmtId="0" fontId="0" fillId="9" borderId="7" xfId="0" applyFill="1" applyBorder="1"/>
    <xf numFmtId="0" fontId="4" fillId="2" borderId="9" xfId="0" applyFont="1" applyFill="1" applyBorder="1"/>
    <xf numFmtId="0" fontId="0" fillId="0" borderId="9" xfId="0" applyBorder="1"/>
    <xf numFmtId="0" fontId="2" fillId="0" borderId="9" xfId="1" applyFont="1" applyFill="1" applyBorder="1"/>
    <xf numFmtId="165" fontId="0" fillId="0" borderId="0" xfId="0" quotePrefix="1" applyNumberFormat="1"/>
    <xf numFmtId="0" fontId="0" fillId="10" borderId="5" xfId="0" applyFill="1" applyBorder="1"/>
    <xf numFmtId="0" fontId="0" fillId="10" borderId="1" xfId="0" applyFill="1" applyBorder="1"/>
    <xf numFmtId="14" fontId="0" fillId="10" borderId="4" xfId="0" applyNumberFormat="1" applyFill="1" applyBorder="1"/>
    <xf numFmtId="1" fontId="0" fillId="0" borderId="0" xfId="0" applyNumberFormat="1"/>
    <xf numFmtId="165" fontId="0" fillId="0" borderId="4" xfId="0" applyNumberFormat="1" applyBorder="1"/>
    <xf numFmtId="0" fontId="0" fillId="0" borderId="2" xfId="0" applyBorder="1"/>
    <xf numFmtId="14" fontId="0" fillId="0" borderId="5" xfId="0" applyNumberFormat="1" applyBorder="1"/>
    <xf numFmtId="0" fontId="0" fillId="0" borderId="1" xfId="0" applyBorder="1"/>
    <xf numFmtId="14" fontId="0" fillId="0" borderId="4" xfId="0" applyNumberFormat="1" applyBorder="1"/>
    <xf numFmtId="0" fontId="0" fillId="0" borderId="8" xfId="0" applyBorder="1"/>
    <xf numFmtId="0" fontId="11" fillId="0" borderId="1" xfId="0" applyFont="1" applyBorder="1"/>
    <xf numFmtId="0" fontId="12" fillId="0" borderId="0" xfId="0" applyFont="1"/>
    <xf numFmtId="0" fontId="11" fillId="10" borderId="1" xfId="0" applyFont="1" applyFill="1" applyBorder="1"/>
    <xf numFmtId="0" fontId="2" fillId="10" borderId="5" xfId="0" applyFont="1" applyFill="1" applyBorder="1"/>
    <xf numFmtId="14" fontId="2" fillId="10" borderId="5" xfId="0" applyNumberFormat="1" applyFont="1" applyFill="1" applyBorder="1"/>
    <xf numFmtId="0" fontId="2" fillId="0" borderId="4" xfId="0" applyFont="1" applyBorder="1"/>
    <xf numFmtId="14" fontId="2" fillId="0" borderId="4" xfId="0" applyNumberFormat="1" applyFont="1" applyBorder="1"/>
    <xf numFmtId="14" fontId="2" fillId="10" borderId="4" xfId="0" applyNumberFormat="1" applyFont="1" applyFill="1" applyBorder="1"/>
    <xf numFmtId="0" fontId="2" fillId="0" borderId="5" xfId="0" applyFont="1" applyBorder="1"/>
    <xf numFmtId="14" fontId="2" fillId="0" borderId="5" xfId="0" applyNumberFormat="1" applyFont="1" applyBorder="1"/>
    <xf numFmtId="14" fontId="2" fillId="0" borderId="0" xfId="0" applyNumberFormat="1" applyFont="1"/>
    <xf numFmtId="0" fontId="13" fillId="0" borderId="0" xfId="0" applyFont="1"/>
    <xf numFmtId="14" fontId="13" fillId="0" borderId="0" xfId="0" applyNumberFormat="1" applyFont="1"/>
    <xf numFmtId="0" fontId="0" fillId="11" borderId="0" xfId="0" applyFill="1"/>
    <xf numFmtId="0" fontId="0" fillId="5" borderId="0" xfId="0" applyFill="1"/>
    <xf numFmtId="0" fontId="0" fillId="0" borderId="10" xfId="0" applyBorder="1"/>
    <xf numFmtId="0" fontId="0" fillId="4" borderId="5" xfId="0" applyFill="1" applyBorder="1"/>
    <xf numFmtId="0" fontId="14" fillId="0" borderId="0" xfId="0" applyFont="1"/>
    <xf numFmtId="0" fontId="15" fillId="12" borderId="11" xfId="0" applyFont="1" applyFill="1" applyBorder="1"/>
    <xf numFmtId="0" fontId="15" fillId="12" borderId="12" xfId="0" applyFont="1" applyFill="1" applyBorder="1"/>
    <xf numFmtId="0" fontId="15" fillId="12" borderId="13" xfId="0" applyFont="1" applyFill="1" applyBorder="1"/>
    <xf numFmtId="0" fontId="15" fillId="12" borderId="4" xfId="0" applyFont="1" applyFill="1" applyBorder="1"/>
    <xf numFmtId="0" fontId="14" fillId="13" borderId="11" xfId="0" applyFont="1" applyFill="1" applyBorder="1"/>
    <xf numFmtId="0" fontId="14" fillId="13" borderId="12" xfId="0" applyFont="1" applyFill="1" applyBorder="1"/>
    <xf numFmtId="0" fontId="14" fillId="13" borderId="13" xfId="0" applyFont="1" applyFill="1" applyBorder="1"/>
    <xf numFmtId="0" fontId="14" fillId="13" borderId="4" xfId="0" applyFont="1" applyFill="1" applyBorder="1"/>
    <xf numFmtId="0" fontId="14" fillId="0" borderId="4" xfId="0" applyFont="1" applyBorder="1"/>
    <xf numFmtId="0" fontId="15" fillId="14" borderId="14" xfId="0" applyFont="1" applyFill="1" applyBorder="1"/>
    <xf numFmtId="0" fontId="15" fillId="14" borderId="15" xfId="0" applyFont="1" applyFill="1" applyBorder="1"/>
    <xf numFmtId="0" fontId="15" fillId="14" borderId="16" xfId="0" applyFont="1" applyFill="1" applyBorder="1"/>
    <xf numFmtId="0" fontId="14" fillId="15" borderId="14" xfId="0" applyFont="1" applyFill="1" applyBorder="1"/>
    <xf numFmtId="0" fontId="14" fillId="15" borderId="15" xfId="0" applyFont="1" applyFill="1" applyBorder="1"/>
    <xf numFmtId="0" fontId="14" fillId="15" borderId="16" xfId="0" applyFont="1" applyFill="1" applyBorder="1"/>
    <xf numFmtId="0" fontId="14" fillId="0" borderId="14" xfId="0" applyFont="1" applyBorder="1"/>
    <xf numFmtId="0" fontId="14" fillId="0" borderId="15" xfId="0" applyFont="1" applyBorder="1"/>
    <xf numFmtId="0" fontId="14" fillId="0" borderId="16" xfId="0" applyFont="1" applyBorder="1"/>
    <xf numFmtId="0" fontId="14" fillId="0" borderId="11" xfId="0" applyFont="1" applyBorder="1"/>
    <xf numFmtId="0" fontId="14" fillId="0" borderId="12" xfId="0" applyFont="1" applyBorder="1"/>
    <xf numFmtId="0" fontId="14" fillId="0" borderId="13" xfId="0" applyFont="1" applyBorder="1"/>
    <xf numFmtId="0" fontId="15" fillId="16" borderId="17" xfId="0" applyFont="1" applyFill="1" applyBorder="1"/>
    <xf numFmtId="0" fontId="15" fillId="16" borderId="18" xfId="0" applyFont="1" applyFill="1" applyBorder="1"/>
    <xf numFmtId="0" fontId="15" fillId="16" borderId="19" xfId="0" applyFont="1" applyFill="1" applyBorder="1"/>
    <xf numFmtId="0" fontId="14" fillId="17" borderId="17" xfId="0" applyFont="1" applyFill="1" applyBorder="1"/>
    <xf numFmtId="0" fontId="14" fillId="17" borderId="18" xfId="0" applyFont="1" applyFill="1" applyBorder="1"/>
    <xf numFmtId="0" fontId="14" fillId="17" borderId="19" xfId="0" applyFont="1" applyFill="1" applyBorder="1"/>
    <xf numFmtId="0" fontId="14" fillId="0" borderId="17" xfId="0" applyFont="1" applyBorder="1"/>
    <xf numFmtId="0" fontId="14" fillId="0" borderId="18" xfId="0" applyFont="1" applyBorder="1"/>
    <xf numFmtId="0" fontId="14" fillId="0" borderId="19" xfId="0" applyFont="1" applyBorder="1"/>
    <xf numFmtId="0" fontId="14" fillId="0" borderId="19" xfId="0" applyFont="1" applyBorder="1" applyAlignment="1">
      <alignment wrapText="1"/>
    </xf>
    <xf numFmtId="0" fontId="14" fillId="0" borderId="17" xfId="0" applyFont="1" applyBorder="1" applyAlignment="1">
      <alignment vertical="center"/>
    </xf>
    <xf numFmtId="0" fontId="14" fillId="0" borderId="18" xfId="0" applyFont="1" applyBorder="1" applyAlignment="1">
      <alignment vertical="center"/>
    </xf>
    <xf numFmtId="0" fontId="0" fillId="18" borderId="0" xfId="0" applyFill="1"/>
    <xf numFmtId="0" fontId="0" fillId="19" borderId="0" xfId="0" applyFill="1"/>
    <xf numFmtId="0" fontId="16" fillId="0" borderId="0" xfId="0" applyFont="1"/>
    <xf numFmtId="0" fontId="14" fillId="0" borderId="20" xfId="0" applyFont="1" applyBorder="1"/>
    <xf numFmtId="0" fontId="14" fillId="0" borderId="21" xfId="0" applyFont="1" applyBorder="1"/>
    <xf numFmtId="0" fontId="14" fillId="0" borderId="22" xfId="0" applyFont="1" applyBorder="1"/>
    <xf numFmtId="0" fontId="17" fillId="0" borderId="11" xfId="0" applyFont="1" applyBorder="1"/>
    <xf numFmtId="0" fontId="17" fillId="0" borderId="12" xfId="0" applyFont="1" applyBorder="1"/>
    <xf numFmtId="0" fontId="17" fillId="0" borderId="13" xfId="0" applyFont="1" applyBorder="1"/>
    <xf numFmtId="0" fontId="18" fillId="0" borderId="0" xfId="0" applyFont="1"/>
    <xf numFmtId="0" fontId="18" fillId="0" borderId="11" xfId="0" applyFont="1" applyBorder="1"/>
    <xf numFmtId="0" fontId="18" fillId="0" borderId="12" xfId="0" applyFont="1" applyBorder="1"/>
    <xf numFmtId="0" fontId="18" fillId="0" borderId="13" xfId="0" applyFont="1" applyBorder="1"/>
    <xf numFmtId="0" fontId="18" fillId="0" borderId="20" xfId="0" applyFont="1" applyBorder="1"/>
    <xf numFmtId="0" fontId="18" fillId="0" borderId="21" xfId="0" applyFont="1" applyBorder="1"/>
    <xf numFmtId="0" fontId="18" fillId="0" borderId="22" xfId="0" applyFont="1" applyBorder="1"/>
    <xf numFmtId="0" fontId="17" fillId="0" borderId="0" xfId="0" applyFont="1"/>
    <xf numFmtId="0" fontId="19" fillId="17" borderId="23" xfId="0" applyFont="1" applyFill="1" applyBorder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11" fillId="0" borderId="1" xfId="0" applyFont="1" applyFill="1" applyBorder="1"/>
    <xf numFmtId="0" fontId="2" fillId="0" borderId="4" xfId="0" applyFont="1" applyFill="1" applyBorder="1"/>
    <xf numFmtId="14" fontId="2" fillId="0" borderId="4" xfId="0" applyNumberFormat="1" applyFont="1" applyFill="1" applyBorder="1"/>
  </cellXfs>
  <cellStyles count="2">
    <cellStyle name="Link" xfId="1" builtinId="8"/>
    <cellStyle name="Standard" xfId="0" builtinId="0"/>
  </cellStyles>
  <dxfs count="114">
    <dxf>
      <numFmt numFmtId="14" formatCode="0.00%"/>
    </dxf>
    <dxf>
      <numFmt numFmtId="1" formatCode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bottom style="thin">
          <color rgb="FF9BC2E6"/>
        </bottom>
      </border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rgb="FF9BC2E6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theme="0" tint="-0.49998474074526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fill>
        <patternFill patternType="solid">
          <fgColor indexed="64"/>
          <bgColor theme="0" tint="-0.499984740745262"/>
        </patternFill>
      </fill>
    </dxf>
    <dxf>
      <numFmt numFmtId="20" formatCode="dd/\ mmm\ yy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0" formatCode="dd/\ mmm\ 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0" formatCode="dd/\ mmm\ 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0" formatCode="dd/\ mmm\ 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0" formatCode="dd/\ mmm\ 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numFmt numFmtId="20" formatCode="dd/\ mmm\ yy"/>
      <border diagonalUp="0" diagonalDown="0" outline="0">
        <left/>
        <right style="thin">
          <color indexed="64"/>
        </right>
        <top/>
        <bottom/>
      </border>
    </dxf>
    <dxf>
      <border outline="0">
        <right style="thin">
          <color indexed="64"/>
        </right>
      </border>
    </dxf>
    <dxf>
      <numFmt numFmtId="20" formatCode="dd/\ mmm\ 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92D050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9" tint="0.59999389629810485"/>
        </patternFill>
      </fill>
    </dxf>
    <dxf>
      <numFmt numFmtId="1" formatCode="0"/>
      <fill>
        <patternFill patternType="solid">
          <fgColor indexed="64"/>
          <bgColor theme="9" tint="0.59999389629810485"/>
        </patternFill>
      </fill>
    </dxf>
    <dxf>
      <numFmt numFmtId="165" formatCode="mmyyyy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0" formatCode="General"/>
    </dxf>
    <dxf>
      <border diagonalUp="0" diagonalDown="0" outline="0">
        <left/>
        <right/>
        <top style="thin">
          <color indexed="64"/>
        </top>
        <bottom/>
      </border>
    </dxf>
    <dxf>
      <numFmt numFmtId="0" formatCode="General"/>
    </dxf>
    <dxf>
      <border diagonalUp="0" diagonalDown="0" outline="0">
        <left/>
        <right/>
        <top style="thin">
          <color indexed="64"/>
        </top>
        <bottom/>
      </border>
    </dxf>
    <dxf>
      <numFmt numFmtId="0" formatCode="General"/>
    </dxf>
    <dxf>
      <border diagonalUp="0" diagonalDown="0" outline="0">
        <left/>
        <right/>
        <top style="thin">
          <color indexed="64"/>
        </top>
        <bottom/>
      </border>
    </dxf>
    <dxf>
      <numFmt numFmtId="0" formatCode="General"/>
    </dxf>
    <dxf>
      <border diagonalUp="0" diagonalDown="0" outline="0">
        <left/>
        <right/>
        <top style="thin">
          <color indexed="64"/>
        </top>
        <bottom/>
      </border>
    </dxf>
    <dxf>
      <numFmt numFmtId="0" formatCode="General"/>
    </dxf>
    <dxf>
      <border diagonalUp="0" diagonalDown="0" outline="0">
        <left/>
        <right/>
        <top style="thin">
          <color indexed="64"/>
        </top>
        <bottom/>
      </border>
    </dxf>
    <dxf>
      <numFmt numFmtId="165" formatCode="mmyyyy"/>
    </dxf>
    <dxf>
      <border diagonalUp="0" diagonalDown="0" outline="0">
        <left/>
        <right/>
        <top style="thin">
          <color indexed="64"/>
        </top>
        <bottom/>
      </border>
    </dxf>
    <dxf>
      <numFmt numFmtId="0" formatCode="General"/>
    </dxf>
    <dxf>
      <border diagonalUp="0" diagonalDown="0" outline="0">
        <left/>
        <right/>
        <top style="thin">
          <color indexed="64"/>
        </top>
        <bottom/>
      </border>
    </dxf>
    <dxf>
      <numFmt numFmtId="0" formatCode="General"/>
    </dxf>
    <dxf>
      <border diagonalUp="0" diagonalDown="0" outline="0">
        <left/>
        <right/>
        <top style="thin">
          <color indexed="64"/>
        </top>
        <bottom/>
      </border>
    </dxf>
    <dxf>
      <numFmt numFmtId="0" formatCode="General"/>
    </dxf>
    <dxf>
      <border diagonalUp="0" diagonalDown="0" outline="0">
        <left/>
        <right/>
        <top style="thin">
          <color indexed="64"/>
        </top>
        <bottom/>
      </border>
    </dxf>
    <dxf>
      <numFmt numFmtId="0" formatCode="General"/>
    </dxf>
    <dxf>
      <border diagonalUp="0" diagonalDown="0" outline="0">
        <left/>
        <right/>
        <top style="thin">
          <color indexed="64"/>
        </top>
        <bottom/>
      </border>
    </dxf>
    <dxf>
      <numFmt numFmtId="0" formatCode="General"/>
    </dxf>
    <dxf>
      <border diagonalUp="0" diagonalDown="0" outline="0">
        <left/>
        <right/>
        <top style="thin">
          <color indexed="64"/>
        </top>
        <bottom/>
      </border>
    </dxf>
    <dxf>
      <numFmt numFmtId="165" formatCode="mmyyyy"/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rgb="FF92D05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right style="thin">
          <color indexed="64"/>
        </right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4" tint="0.39997558519241921"/>
        </patternFill>
      </fill>
    </dxf>
    <dxf>
      <numFmt numFmtId="1" formatCode="0"/>
    </dxf>
    <dxf>
      <numFmt numFmtId="19" formatCode="dd/mm/yyyy"/>
    </dxf>
    <dxf>
      <numFmt numFmtId="19" formatCode="dd/mm/yyyy"/>
    </dxf>
    <dxf>
      <numFmt numFmtId="166" formatCode="mmm"/>
    </dxf>
    <dxf>
      <numFmt numFmtId="165" formatCode="mmyyyy"/>
    </dxf>
    <dxf>
      <numFmt numFmtId="165" formatCode="mmyyyy"/>
    </dxf>
    <dxf>
      <fill>
        <patternFill patternType="solid">
          <fgColor indexed="64"/>
          <bgColor theme="4" tint="0.39997558519241921"/>
        </patternFill>
      </fill>
    </dxf>
    <dxf>
      <numFmt numFmtId="19" formatCode="dd/mm/yyyy"/>
    </dxf>
  </dxfs>
  <tableStyles count="0" defaultTableStyle="TableStyleMedium2" defaultPivotStyle="PivotStyleLight16"/>
  <colors>
    <mruColors>
      <color rgb="FFBFBFBF"/>
      <color rgb="FFCFCF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[BA1 Meilenstein2 Gruppe 4.xlsm]Krankenstand_Wochentag!PivotTable5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cap="none" spc="2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ysClr val="windowText" lastClr="000000"/>
                </a:solidFill>
              </a:rPr>
              <a:t>Krankenstand  an Wochentagen 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50000"/>
                    <a:lumOff val="50000"/>
                  </a:sysClr>
                </a:solidFill>
              </a:defRPr>
            </a:pPr>
            <a:r>
              <a:rPr lang="en-US" sz="1400" b="1" i="0" u="none" strike="noStrike" kern="1200" baseline="0">
                <a:solidFill>
                  <a:sysClr val="windowText" lastClr="000000"/>
                </a:solidFill>
              </a:rPr>
              <a:t>von Juli 22 bis Januar 23 in Prozent</a:t>
            </a:r>
            <a:endParaRPr lang="de-DE" sz="1400" b="1" i="0" u="none" strike="noStrike" kern="1200" baseline="0">
              <a:solidFill>
                <a:sysClr val="windowText" lastClr="000000"/>
              </a:solidFill>
            </a:endParaRP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50000"/>
                    <a:lumOff val="50000"/>
                  </a:sysClr>
                </a:solidFill>
              </a:defRPr>
            </a:pPr>
            <a:endParaRPr lang="en-US"/>
          </a:p>
        </c:rich>
      </c:tx>
      <c:layout>
        <c:manualLayout>
          <c:xMode val="edge"/>
          <c:yMode val="edge"/>
          <c:x val="0.21151521018889033"/>
          <c:y val="0.126130993473338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cap="none" spc="20" baseline="0">
              <a:solidFill>
                <a:sysClr val="windowText" lastClr="000000">
                  <a:lumMod val="50000"/>
                  <a:lumOff val="50000"/>
                </a:sys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7030A0"/>
          </a:solidFill>
          <a:ln w="9525" cap="flat" cmpd="sng" algn="ctr">
            <a:solidFill>
              <a:schemeClr val="bg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Krankenstand_Wochentag!$B$3:$B$4</c:f>
              <c:strCache>
                <c:ptCount val="1"/>
                <c:pt idx="0">
                  <c:v>KRANK</c:v>
                </c:pt>
              </c:strCache>
            </c:strRef>
          </c:tx>
          <c:spPr>
            <a:solidFill>
              <a:srgbClr val="7030A0"/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Krankenstand_Wochentag!$A$5:$A$10</c:f>
              <c:strCache>
                <c:ptCount val="5"/>
                <c:pt idx="0">
                  <c:v>Montag</c:v>
                </c:pt>
                <c:pt idx="1">
                  <c:v>Dienstag</c:v>
                </c:pt>
                <c:pt idx="2">
                  <c:v>Mittwoch</c:v>
                </c:pt>
                <c:pt idx="3">
                  <c:v>Donnerstag</c:v>
                </c:pt>
                <c:pt idx="4">
                  <c:v>Freitag</c:v>
                </c:pt>
              </c:strCache>
            </c:strRef>
          </c:cat>
          <c:val>
            <c:numRef>
              <c:f>Krankenstand_Wochentag!$B$5:$B$10</c:f>
              <c:numCache>
                <c:formatCode>0.00%</c:formatCode>
                <c:ptCount val="5"/>
                <c:pt idx="0">
                  <c:v>0.18939393939393939</c:v>
                </c:pt>
                <c:pt idx="1">
                  <c:v>0.21212121212121213</c:v>
                </c:pt>
                <c:pt idx="2">
                  <c:v>0.21212121212121213</c:v>
                </c:pt>
                <c:pt idx="3">
                  <c:v>0.20454545454545456</c:v>
                </c:pt>
                <c:pt idx="4">
                  <c:v>0.18181818181818182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96-4192-900E-BB8E318B39D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571013295"/>
        <c:axId val="1571014255"/>
      </c:barChart>
      <c:catAx>
        <c:axId val="1571013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71014255"/>
        <c:crosses val="autoZero"/>
        <c:auto val="1"/>
        <c:lblAlgn val="ctr"/>
        <c:lblOffset val="100"/>
        <c:noMultiLvlLbl val="0"/>
      </c:catAx>
      <c:valAx>
        <c:axId val="1571014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710132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345173041894333"/>
          <c:y val="2.70761421658379E-2"/>
          <c:w val="0.2151639344262295"/>
          <c:h val="0.133014170560319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[BA1 Meilenstein2 Gruppe 4.xlsm]Mitarbieter_Abwesenheitstage!PivotTable4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sz="1400" b="1" i="0" u="none" strike="noStrike" kern="1200" cap="none" spc="50" baseline="0">
                <a:solidFill>
                  <a:srgbClr val="000000"/>
                </a:solidFill>
              </a:rPr>
              <a:t>Mitabeiter-Abwesenheitstage  </a:t>
            </a:r>
          </a:p>
          <a:p>
            <a:pPr>
              <a:defRPr/>
            </a:pPr>
            <a:r>
              <a:rPr lang="de-DE" sz="1400" b="1" i="0" u="none" strike="noStrike" kern="1200" cap="none" spc="50" baseline="0">
                <a:solidFill>
                  <a:srgbClr val="000000"/>
                </a:solidFill>
              </a:rPr>
              <a:t>von Juli bis Januar 20</a:t>
            </a:r>
            <a:r>
              <a:rPr lang="de-DE" sz="1400" b="1" i="0" u="none" strike="noStrike" kern="1200" cap="none" spc="50" baseline="0">
                <a:solidFill>
                  <a:srgbClr val="000000"/>
                </a:solidFill>
                <a:effectLst/>
              </a:rPr>
              <a:t>22-23 </a:t>
            </a:r>
            <a:endParaRPr lang="de-DE" sz="1400" b="1" i="0" u="none" strike="noStrike" kern="1200" cap="none" spc="50" baseline="0">
              <a:solidFill>
                <a:srgbClr val="000000"/>
              </a:solidFill>
            </a:endParaRPr>
          </a:p>
        </c:rich>
      </c:tx>
      <c:layout>
        <c:manualLayout>
          <c:xMode val="edge"/>
          <c:yMode val="edge"/>
          <c:x val="0.4389534860773982"/>
          <c:y val="9.39392379874084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5090659720166558"/>
          <c:y val="0.33001766935995741"/>
          <c:w val="0.82152448049256999"/>
          <c:h val="0.37655739111042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Mitarbieter_Abwesenheitstage!$B$3:$B$4</c:f>
              <c:strCache>
                <c:ptCount val="1"/>
                <c:pt idx="0">
                  <c:v>KRANK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Mitarbieter_Abwesenheitstage!$A$5:$A$16</c:f>
              <c:strCache>
                <c:ptCount val="11"/>
                <c:pt idx="0">
                  <c:v>AD</c:v>
                </c:pt>
                <c:pt idx="1">
                  <c:v>AH</c:v>
                </c:pt>
                <c:pt idx="2">
                  <c:v>AO</c:v>
                </c:pt>
                <c:pt idx="3">
                  <c:v>AS</c:v>
                </c:pt>
                <c:pt idx="4">
                  <c:v>BB</c:v>
                </c:pt>
                <c:pt idx="5">
                  <c:v>CL</c:v>
                </c:pt>
                <c:pt idx="6">
                  <c:v>HZ</c:v>
                </c:pt>
                <c:pt idx="7">
                  <c:v>IO</c:v>
                </c:pt>
                <c:pt idx="8">
                  <c:v>JS</c:v>
                </c:pt>
                <c:pt idx="9">
                  <c:v>SB</c:v>
                </c:pt>
                <c:pt idx="10">
                  <c:v>YB</c:v>
                </c:pt>
              </c:strCache>
            </c:strRef>
          </c:cat>
          <c:val>
            <c:numRef>
              <c:f>Mitarbieter_Abwesenheitstage!$B$5:$B$16</c:f>
              <c:numCache>
                <c:formatCode>0</c:formatCode>
                <c:ptCount val="11"/>
                <c:pt idx="0">
                  <c:v>9</c:v>
                </c:pt>
                <c:pt idx="1">
                  <c:v>12</c:v>
                </c:pt>
                <c:pt idx="2">
                  <c:v>15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11</c:v>
                </c:pt>
                <c:pt idx="7">
                  <c:v>10</c:v>
                </c:pt>
                <c:pt idx="8">
                  <c:v>16</c:v>
                </c:pt>
                <c:pt idx="9">
                  <c:v>11</c:v>
                </c:pt>
                <c:pt idx="1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C-4601-9850-1B095BD4477E}"/>
            </c:ext>
          </c:extLst>
        </c:ser>
        <c:ser>
          <c:idx val="1"/>
          <c:order val="1"/>
          <c:tx>
            <c:strRef>
              <c:f>Mitarbieter_Abwesenheitstage!$C$3:$C$4</c:f>
              <c:strCache>
                <c:ptCount val="1"/>
                <c:pt idx="0">
                  <c:v>URLAUB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Mitarbieter_Abwesenheitstage!$A$5:$A$16</c:f>
              <c:strCache>
                <c:ptCount val="11"/>
                <c:pt idx="0">
                  <c:v>AD</c:v>
                </c:pt>
                <c:pt idx="1">
                  <c:v>AH</c:v>
                </c:pt>
                <c:pt idx="2">
                  <c:v>AO</c:v>
                </c:pt>
                <c:pt idx="3">
                  <c:v>AS</c:v>
                </c:pt>
                <c:pt idx="4">
                  <c:v>BB</c:v>
                </c:pt>
                <c:pt idx="5">
                  <c:v>CL</c:v>
                </c:pt>
                <c:pt idx="6">
                  <c:v>HZ</c:v>
                </c:pt>
                <c:pt idx="7">
                  <c:v>IO</c:v>
                </c:pt>
                <c:pt idx="8">
                  <c:v>JS</c:v>
                </c:pt>
                <c:pt idx="9">
                  <c:v>SB</c:v>
                </c:pt>
                <c:pt idx="10">
                  <c:v>YB</c:v>
                </c:pt>
              </c:strCache>
            </c:strRef>
          </c:cat>
          <c:val>
            <c:numRef>
              <c:f>Mitarbieter_Abwesenheitstage!$C$5:$C$16</c:f>
              <c:numCache>
                <c:formatCode>0</c:formatCode>
                <c:ptCount val="11"/>
                <c:pt idx="0">
                  <c:v>17</c:v>
                </c:pt>
                <c:pt idx="1">
                  <c:v>11</c:v>
                </c:pt>
                <c:pt idx="2">
                  <c:v>4</c:v>
                </c:pt>
                <c:pt idx="3">
                  <c:v>7</c:v>
                </c:pt>
                <c:pt idx="4">
                  <c:v>6</c:v>
                </c:pt>
                <c:pt idx="5">
                  <c:v>3</c:v>
                </c:pt>
                <c:pt idx="6">
                  <c:v>5</c:v>
                </c:pt>
                <c:pt idx="7">
                  <c:v>14</c:v>
                </c:pt>
                <c:pt idx="8">
                  <c:v>6</c:v>
                </c:pt>
                <c:pt idx="9">
                  <c:v>10</c:v>
                </c:pt>
                <c:pt idx="1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2C-4601-9850-1B095BD4477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349552671"/>
        <c:axId val="349543551"/>
      </c:barChart>
      <c:catAx>
        <c:axId val="34955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49543551"/>
        <c:crosses val="autoZero"/>
        <c:auto val="1"/>
        <c:lblAlgn val="ctr"/>
        <c:lblOffset val="100"/>
        <c:noMultiLvlLbl val="0"/>
      </c:catAx>
      <c:valAx>
        <c:axId val="349543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49552671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[BA1 Meilenstein2 Gruppe 4.xlsm]Krankenstand in Monaten!PivotTable6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dk1"/>
                </a:solidFill>
                <a:latin typeface="+mn-lt"/>
                <a:ea typeface="+mn-ea"/>
                <a:cs typeface="+mn-cs"/>
              </a:rPr>
              <a:t>Enwicklung des Krankenstandes </a:t>
            </a:r>
          </a:p>
          <a:p>
            <a:pPr>
              <a:defRPr>
                <a:solidFill>
                  <a:schemeClr val="dk1"/>
                </a:solidFill>
              </a:defRPr>
            </a:pPr>
            <a:r>
              <a:rPr lang="en-US">
                <a:solidFill>
                  <a:schemeClr val="dk1"/>
                </a:solidFill>
                <a:latin typeface="+mn-lt"/>
                <a:ea typeface="+mn-ea"/>
                <a:cs typeface="+mn-cs"/>
              </a:rPr>
              <a:t>von</a:t>
            </a:r>
            <a:r>
              <a:rPr lang="en-US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</a:t>
            </a:r>
            <a:r>
              <a:rPr lang="en-US" sz="1400" b="1" i="0" u="none" strike="noStrike" kern="1200" baseline="0">
                <a:solidFill>
                  <a:schemeClr val="dk1"/>
                </a:solidFill>
              </a:rPr>
              <a:t>Juli </a:t>
            </a:r>
            <a:r>
              <a:rPr lang="en-US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bis Januar 2022-23</a:t>
            </a:r>
            <a:endParaRPr lang="en-US"/>
          </a:p>
        </c:rich>
      </c:tx>
      <c:overlay val="0"/>
      <c:spPr>
        <a:solidFill>
          <a:schemeClr val="lt1"/>
        </a:solidFill>
        <a:ln w="12700" cap="flat" cmpd="sng" algn="ctr">
          <a:noFill/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rgbClr val="7030A0"/>
          </a:solidFill>
          <a:ln>
            <a:noFill/>
          </a:ln>
          <a:effectLst/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2700">
              <a:solidFill>
                <a:schemeClr val="lt2"/>
              </a:solidFill>
              <a:round/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'Krankenstand in Monaten'!$B$4</c:f>
              <c:strCache>
                <c:ptCount val="1"/>
                <c:pt idx="0">
                  <c:v>Ergebnis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'Krankenstand in Monaten'!$A$5:$A$12</c:f>
              <c:strCache>
                <c:ptCount val="7"/>
                <c:pt idx="0">
                  <c:v>Jan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  <c:pt idx="4">
                  <c:v>Okt</c:v>
                </c:pt>
                <c:pt idx="5">
                  <c:v>Nov</c:v>
                </c:pt>
                <c:pt idx="6">
                  <c:v>Dez</c:v>
                </c:pt>
              </c:strCache>
            </c:strRef>
          </c:cat>
          <c:val>
            <c:numRef>
              <c:f>'Krankenstand in Monaten'!$B$5:$B$12</c:f>
              <c:numCache>
                <c:formatCode>0.00%</c:formatCode>
                <c:ptCount val="7"/>
                <c:pt idx="0">
                  <c:v>3.0991735537190084E-2</c:v>
                </c:pt>
                <c:pt idx="1">
                  <c:v>1.2987012987012988E-2</c:v>
                </c:pt>
                <c:pt idx="2">
                  <c:v>5.731225296442688E-2</c:v>
                </c:pt>
                <c:pt idx="3">
                  <c:v>1.6528925619834711E-2</c:v>
                </c:pt>
                <c:pt idx="4">
                  <c:v>8.8636363636363638E-2</c:v>
                </c:pt>
                <c:pt idx="5">
                  <c:v>0.11688311688311688</c:v>
                </c:pt>
                <c:pt idx="6">
                  <c:v>0.17965367965367965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3D3-4C3B-BD52-8BF3BB47D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0"/>
        <c:overlap val="15"/>
        <c:axId val="262215327"/>
        <c:axId val="262212831"/>
      </c:barChart>
      <c:catAx>
        <c:axId val="26221532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Krankheitsquote pro Monat</a:t>
                </a:r>
              </a:p>
            </c:rich>
          </c:tx>
          <c:layout>
            <c:manualLayout>
              <c:xMode val="edge"/>
              <c:yMode val="edge"/>
              <c:x val="0.35297436022590006"/>
              <c:y val="0.821489788358692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62212831"/>
        <c:crosses val="autoZero"/>
        <c:auto val="1"/>
        <c:lblAlgn val="ctr"/>
        <c:lblOffset val="100"/>
        <c:noMultiLvlLbl val="0"/>
      </c:catAx>
      <c:valAx>
        <c:axId val="262212831"/>
        <c:scaling>
          <c:orientation val="minMax"/>
          <c:min val="0"/>
        </c:scaling>
        <c:delete val="0"/>
        <c:axPos val="l"/>
        <c:majorGridlines>
          <c:spPr>
            <a:ln w="0" cap="flat" cmpd="dbl" algn="ctr">
              <a:solidFill>
                <a:schemeClr val="bg2">
                  <a:lumMod val="9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b="0"/>
                  <a:t>Krankheitsquote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62215327"/>
        <c:crosses val="autoZero"/>
        <c:crossBetween val="between"/>
        <c:majorUnit val="4.0000000000000008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tmp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431800</xdr:colOff>
      <xdr:row>0</xdr:row>
      <xdr:rowOff>177801</xdr:rowOff>
    </xdr:from>
    <xdr:to>
      <xdr:col>13</xdr:col>
      <xdr:colOff>109676</xdr:colOff>
      <xdr:row>24</xdr:row>
      <xdr:rowOff>16934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67454D5F-5E35-1359-BB87-5E94FA386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93200" y="177801"/>
          <a:ext cx="5265876" cy="43095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19</xdr:col>
      <xdr:colOff>28575</xdr:colOff>
      <xdr:row>22</xdr:row>
      <xdr:rowOff>142875</xdr:rowOff>
    </xdr:to>
    <xdr:pic>
      <xdr:nvPicPr>
        <xdr:cNvPr id="3" name="Bild 2">
          <a:extLst>
            <a:ext uri="{FF2B5EF4-FFF2-40B4-BE49-F238E27FC236}">
              <a16:creationId xmlns:a16="http://schemas.microsoft.com/office/drawing/2014/main" id="{D7FF6A68-3C1E-BE2C-EB7E-18E3D40B9E19}"/>
            </a:ext>
            <a:ext uri="{147F2762-F138-4A5C-976F-8EAC2B608ADB}">
              <a16:predDERef xmlns:a16="http://schemas.microsoft.com/office/drawing/2014/main" pred="{69830344-46AD-CC61-DBBC-A3C04CC626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06525" y="0"/>
          <a:ext cx="5362575" cy="41243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876300</xdr:colOff>
      <xdr:row>3</xdr:row>
      <xdr:rowOff>41910</xdr:rowOff>
    </xdr:from>
    <xdr:to>
      <xdr:col>9</xdr:col>
      <xdr:colOff>68580</xdr:colOff>
      <xdr:row>19</xdr:row>
      <xdr:rowOff>114300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2637BFBF-0685-2D80-A7E7-D3B98A087B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388620</xdr:colOff>
      <xdr:row>1</xdr:row>
      <xdr:rowOff>163830</xdr:rowOff>
    </xdr:from>
    <xdr:to>
      <xdr:col>10</xdr:col>
      <xdr:colOff>251460</xdr:colOff>
      <xdr:row>18</xdr:row>
      <xdr:rowOff>45720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1A07654D-2CF2-E7C6-55AB-FA103C4FC7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589166</xdr:colOff>
      <xdr:row>1</xdr:row>
      <xdr:rowOff>151706</xdr:rowOff>
    </xdr:from>
    <xdr:to>
      <xdr:col>6</xdr:col>
      <xdr:colOff>752475</xdr:colOff>
      <xdr:row>20</xdr:row>
      <xdr:rowOff>83819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9D272218-8909-2606-625A-B10B89BEDE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49163" refreshedDate="45061.77781284722" createdVersion="8" refreshedVersion="8" minRefreshableVersion="3" recordCount="770" xr:uid="{B2666A12-A176-4B59-BA39-254A1E3DFF1D}">
  <cacheSource type="worksheet">
    <worksheetSource name="PSFT"/>
  </cacheSource>
  <cacheFields count="13">
    <cacheField name="Monat_ID" numFmtId="165">
      <sharedItems containsSemiMixedTypes="0" containsNonDate="0" containsDate="1" containsString="0" minDate="2022-07-01T00:00:00" maxDate="2023-01-02T00:00:00" count="7">
        <d v="2022-07-01T00:00:00"/>
        <d v="2022-08-01T00:00:00"/>
        <d v="2022-09-01T00:00:00"/>
        <d v="2022-10-01T00:00:00"/>
        <d v="2022-11-01T00:00:00"/>
        <d v="2022-12-01T00:00:00"/>
        <d v="2023-01-01T00:00:00"/>
      </sharedItems>
      <fieldGroup par="10" base="0">
        <rangePr groupBy="days" startDate="2022-07-01T00:00:00" endDate="2023-01-02T00:00:00"/>
        <groupItems count="368">
          <s v="&lt;01.07.2022"/>
          <s v="01. Jan"/>
          <s v="02. Jan"/>
          <s v="03. Jan"/>
          <s v="04. Jan"/>
          <s v="05. Jan"/>
          <s v="06. Jan"/>
          <s v="07. Jan"/>
          <s v="08. Jan"/>
          <s v="09. Jan"/>
          <s v="10. Jan"/>
          <s v="11. Jan"/>
          <s v="12. Jan"/>
          <s v="13. Jan"/>
          <s v="14. Jan"/>
          <s v="15. Jan"/>
          <s v="16. Jan"/>
          <s v="17. Jan"/>
          <s v="18. Jan"/>
          <s v="19. Jan"/>
          <s v="20. Jan"/>
          <s v="21. Jan"/>
          <s v="22. Jan"/>
          <s v="23. Jan"/>
          <s v="24. Jan"/>
          <s v="25. Jan"/>
          <s v="26. Jan"/>
          <s v="27. Jan"/>
          <s v="28. Jan"/>
          <s v="29. Jan"/>
          <s v="30. Jan"/>
          <s v="31. Jan"/>
          <s v="01. Feb"/>
          <s v="02. Feb"/>
          <s v="03. Feb"/>
          <s v="04. Feb"/>
          <s v="05. Feb"/>
          <s v="06. Feb"/>
          <s v="07. Feb"/>
          <s v="08. Feb"/>
          <s v="09. Feb"/>
          <s v="10. Feb"/>
          <s v="11. Feb"/>
          <s v="12. Feb"/>
          <s v="13. Feb"/>
          <s v="14. Feb"/>
          <s v="15. Feb"/>
          <s v="16. Feb"/>
          <s v="17. Feb"/>
          <s v="18. Feb"/>
          <s v="19. Feb"/>
          <s v="20. Feb"/>
          <s v="21. Feb"/>
          <s v="22. Feb"/>
          <s v="23. Feb"/>
          <s v="24. Feb"/>
          <s v="25. Feb"/>
          <s v="26. Feb"/>
          <s v="27. Feb"/>
          <s v="28. Feb"/>
          <s v="29. Feb"/>
          <s v="01. Mrz"/>
          <s v="02. Mrz"/>
          <s v="03. Mrz"/>
          <s v="04. Mrz"/>
          <s v="05. Mrz"/>
          <s v="06. Mrz"/>
          <s v="07. Mrz"/>
          <s v="08. Mrz"/>
          <s v="09. Mrz"/>
          <s v="10. Mrz"/>
          <s v="11. Mrz"/>
          <s v="12. Mrz"/>
          <s v="13. Mrz"/>
          <s v="14. Mrz"/>
          <s v="15. Mrz"/>
          <s v="16. Mrz"/>
          <s v="17. Mrz"/>
          <s v="18. Mrz"/>
          <s v="19. Mrz"/>
          <s v="20. Mrz"/>
          <s v="21. Mrz"/>
          <s v="22. Mrz"/>
          <s v="23. Mrz"/>
          <s v="24. Mrz"/>
          <s v="25. Mrz"/>
          <s v="26. Mrz"/>
          <s v="27. Mrz"/>
          <s v="28. Mrz"/>
          <s v="29. Mrz"/>
          <s v="30. Mrz"/>
          <s v="31. Mrz"/>
          <s v="01. Apr"/>
          <s v="02. Apr"/>
          <s v="03. Apr"/>
          <s v="04. Apr"/>
          <s v="05. Apr"/>
          <s v="06. Apr"/>
          <s v="07. Apr"/>
          <s v="08. Apr"/>
          <s v="09. Apr"/>
          <s v="10. Apr"/>
          <s v="11. Apr"/>
          <s v="12. Apr"/>
          <s v="13. Apr"/>
          <s v="14. Apr"/>
          <s v="15. Apr"/>
          <s v="16. Apr"/>
          <s v="17. Apr"/>
          <s v="18. Apr"/>
          <s v="19. Apr"/>
          <s v="20. Apr"/>
          <s v="21. Apr"/>
          <s v="22. Apr"/>
          <s v="23. Apr"/>
          <s v="24. Apr"/>
          <s v="25. Apr"/>
          <s v="26. Apr"/>
          <s v="27. Apr"/>
          <s v="28. Apr"/>
          <s v="29. Apr"/>
          <s v="30. Apr"/>
          <s v="01. Mai"/>
          <s v="02. Mai"/>
          <s v="03. Mai"/>
          <s v="04. Mai"/>
          <s v="05. Mai"/>
          <s v="06. Mai"/>
          <s v="07. Mai"/>
          <s v="08. Mai"/>
          <s v="09. Mai"/>
          <s v="10. Mai"/>
          <s v="11. Mai"/>
          <s v="12. Mai"/>
          <s v="13. Mai"/>
          <s v="14. Mai"/>
          <s v="15. Mai"/>
          <s v="16. Mai"/>
          <s v="17. Mai"/>
          <s v="18. Mai"/>
          <s v="19. Mai"/>
          <s v="20. Mai"/>
          <s v="21. Mai"/>
          <s v="22. Mai"/>
          <s v="23. Mai"/>
          <s v="24. Mai"/>
          <s v="25. Mai"/>
          <s v="26. Mai"/>
          <s v="27. Mai"/>
          <s v="28. Mai"/>
          <s v="29. Mai"/>
          <s v="30. Mai"/>
          <s v="31. Mai"/>
          <s v="01. Jun"/>
          <s v="02. Jun"/>
          <s v="03. Jun"/>
          <s v="04. Jun"/>
          <s v="05. Jun"/>
          <s v="06. Jun"/>
          <s v="07. Jun"/>
          <s v="08. Jun"/>
          <s v="09. Jun"/>
          <s v="10. Jun"/>
          <s v="11. Jun"/>
          <s v="12. Jun"/>
          <s v="13. Jun"/>
          <s v="14. Jun"/>
          <s v="15. Jun"/>
          <s v="16. Jun"/>
          <s v="17. Jun"/>
          <s v="18. Jun"/>
          <s v="19. Jun"/>
          <s v="20. Jun"/>
          <s v="21. Jun"/>
          <s v="22. Jun"/>
          <s v="23. Jun"/>
          <s v="24. Jun"/>
          <s v="25. Jun"/>
          <s v="26. Jun"/>
          <s v="27. Jun"/>
          <s v="28. Jun"/>
          <s v="29. Jun"/>
          <s v="30. Jun"/>
          <s v="01. Jul"/>
          <s v="02. Jul"/>
          <s v="03. Jul"/>
          <s v="04. Jul"/>
          <s v="05. Jul"/>
          <s v="06. Jul"/>
          <s v="07. Jul"/>
          <s v="08. Jul"/>
          <s v="09. Jul"/>
          <s v="10. Jul"/>
          <s v="11. Jul"/>
          <s v="12. Jul"/>
          <s v="13. Jul"/>
          <s v="14. Jul"/>
          <s v="15. Jul"/>
          <s v="16. Jul"/>
          <s v="17. Jul"/>
          <s v="18. Jul"/>
          <s v="19. Jul"/>
          <s v="20. Jul"/>
          <s v="21. Jul"/>
          <s v="22. Jul"/>
          <s v="23. Jul"/>
          <s v="24. Jul"/>
          <s v="25. Jul"/>
          <s v="26. Jul"/>
          <s v="27. Jul"/>
          <s v="28. Jul"/>
          <s v="29. Jul"/>
          <s v="30. Jul"/>
          <s v="31. Jul"/>
          <s v="01. Aug"/>
          <s v="02. Aug"/>
          <s v="03. Aug"/>
          <s v="04. Aug"/>
          <s v="05. Aug"/>
          <s v="06. Aug"/>
          <s v="07. Aug"/>
          <s v="08. Aug"/>
          <s v="09. Aug"/>
          <s v="10. Aug"/>
          <s v="11. Aug"/>
          <s v="12. Aug"/>
          <s v="13. Aug"/>
          <s v="14. Aug"/>
          <s v="15. Aug"/>
          <s v="16. Aug"/>
          <s v="17. Aug"/>
          <s v="18. Aug"/>
          <s v="19. Aug"/>
          <s v="20. Aug"/>
          <s v="21. Aug"/>
          <s v="22. Aug"/>
          <s v="23. Aug"/>
          <s v="24. Aug"/>
          <s v="25. Aug"/>
          <s v="26. Aug"/>
          <s v="27. Aug"/>
          <s v="28. Aug"/>
          <s v="29. Aug"/>
          <s v="30. Aug"/>
          <s v="31. Aug"/>
          <s v="01. Sep"/>
          <s v="02. Sep"/>
          <s v="03. Sep"/>
          <s v="04. Sep"/>
          <s v="05. Sep"/>
          <s v="06. Sep"/>
          <s v="07. Sep"/>
          <s v="08. Sep"/>
          <s v="09. Sep"/>
          <s v="10. Sep"/>
          <s v="11. Sep"/>
          <s v="12. Sep"/>
          <s v="13. Sep"/>
          <s v="14. Sep"/>
          <s v="15. Sep"/>
          <s v="16. Sep"/>
          <s v="17. Sep"/>
          <s v="18. Sep"/>
          <s v="19. Sep"/>
          <s v="20. Sep"/>
          <s v="21. Sep"/>
          <s v="22. Sep"/>
          <s v="23. Sep"/>
          <s v="24. Sep"/>
          <s v="25. Sep"/>
          <s v="26. Sep"/>
          <s v="27. Sep"/>
          <s v="28. Sep"/>
          <s v="29. Sep"/>
          <s v="30. Sep"/>
          <s v="01. Okt"/>
          <s v="02. Okt"/>
          <s v="03. Okt"/>
          <s v="04. Okt"/>
          <s v="05. Okt"/>
          <s v="06. Okt"/>
          <s v="07. Okt"/>
          <s v="08. Okt"/>
          <s v="09. Okt"/>
          <s v="10. Okt"/>
          <s v="11. Okt"/>
          <s v="12. Okt"/>
          <s v="13. Okt"/>
          <s v="14. Okt"/>
          <s v="15. Okt"/>
          <s v="16. Okt"/>
          <s v="17. Okt"/>
          <s v="18. Okt"/>
          <s v="19. Okt"/>
          <s v="20. Okt"/>
          <s v="21. Okt"/>
          <s v="22. Okt"/>
          <s v="23. Okt"/>
          <s v="24. Okt"/>
          <s v="25. Okt"/>
          <s v="26. Okt"/>
          <s v="27. Okt"/>
          <s v="28. Okt"/>
          <s v="29. Okt"/>
          <s v="30. Okt"/>
          <s v="31. Okt"/>
          <s v="01. Nov"/>
          <s v="02. Nov"/>
          <s v="03. Nov"/>
          <s v="04. Nov"/>
          <s v="05. Nov"/>
          <s v="06. Nov"/>
          <s v="07. Nov"/>
          <s v="08. Nov"/>
          <s v="09. Nov"/>
          <s v="10. Nov"/>
          <s v="11. Nov"/>
          <s v="12. Nov"/>
          <s v="13. Nov"/>
          <s v="14. Nov"/>
          <s v="15. Nov"/>
          <s v="16. Nov"/>
          <s v="17. Nov"/>
          <s v="18. Nov"/>
          <s v="19. Nov"/>
          <s v="20. Nov"/>
          <s v="21. Nov"/>
          <s v="22. Nov"/>
          <s v="23. Nov"/>
          <s v="24. Nov"/>
          <s v="25. Nov"/>
          <s v="26. Nov"/>
          <s v="27. Nov"/>
          <s v="28. Nov"/>
          <s v="29. Nov"/>
          <s v="30. Nov"/>
          <s v="01. Dez"/>
          <s v="02. Dez"/>
          <s v="03. Dez"/>
          <s v="04. Dez"/>
          <s v="05. Dez"/>
          <s v="06. Dez"/>
          <s v="07. Dez"/>
          <s v="08. Dez"/>
          <s v="09. Dez"/>
          <s v="10. Dez"/>
          <s v="11. Dez"/>
          <s v="12. Dez"/>
          <s v="13. Dez"/>
          <s v="14. Dez"/>
          <s v="15. Dez"/>
          <s v="16. Dez"/>
          <s v="17. Dez"/>
          <s v="18. Dez"/>
          <s v="19. Dez"/>
          <s v="20. Dez"/>
          <s v="21. Dez"/>
          <s v="22. Dez"/>
          <s v="23. Dez"/>
          <s v="24. Dez"/>
          <s v="25. Dez"/>
          <s v="26. Dez"/>
          <s v="27. Dez"/>
          <s v="28. Dez"/>
          <s v="29. Dez"/>
          <s v="30. Dez"/>
          <s v="31. Dez"/>
          <s v="&gt;02.01.2023"/>
        </groupItems>
      </fieldGroup>
    </cacheField>
    <cacheField name="Wochentag_Id" numFmtId="1">
      <sharedItems containsSemiMixedTypes="0" containsString="0" containsNumber="1" containsInteger="1" minValue="1" maxValue="5" count="5">
        <n v="1"/>
        <n v="2"/>
        <n v="3"/>
        <n v="4"/>
        <n v="5"/>
      </sharedItems>
    </cacheField>
    <cacheField name="Mitarbiter_ID" numFmtId="0">
      <sharedItems count="11">
        <s v="AD"/>
        <s v="AH"/>
        <s v="AO"/>
        <s v="AS"/>
        <s v="BB"/>
        <s v="CL"/>
        <s v="HZ"/>
        <s v="IO"/>
        <s v="JS"/>
        <s v="SB"/>
        <s v="YB"/>
      </sharedItems>
    </cacheField>
    <cacheField name="Abteilungscode" numFmtId="0">
      <sharedItems count="3">
        <s v="VERKAUF"/>
        <s v="VERW"/>
        <s v="PROD"/>
      </sharedItems>
    </cacheField>
    <cacheField name="Abwesenheitsgrund" numFmtId="0">
      <sharedItems count="2">
        <s v="KRANK"/>
        <s v="URLAUB"/>
      </sharedItems>
    </cacheField>
    <cacheField name="Sollarbeitstage" numFmtId="0">
      <sharedItems containsSemiMixedTypes="0" containsString="0" containsNumber="1" containsInteger="1" minValue="3" maxValue="5"/>
    </cacheField>
    <cacheField name="Anzahl der Abwesenheitstagen" numFmtId="0">
      <sharedItems containsSemiMixedTypes="0" containsString="0" containsNumber="1" containsInteger="1" minValue="0" maxValue="3"/>
    </cacheField>
    <cacheField name="wochentagen" numFmtId="0">
      <sharedItems count="5">
        <s v="Montag"/>
        <s v="Dienstag"/>
        <s v="Mittwoch"/>
        <s v="Donnerstag"/>
        <s v="Freitag"/>
      </sharedItems>
    </cacheField>
    <cacheField name="Krankheitsquote an Wochentagen" numFmtId="0" formula="#NAME?/#NAME?" databaseField="0"/>
    <cacheField name="Monate" numFmtId="0" databaseField="0">
      <fieldGroup base="0">
        <rangePr groupBy="months" startDate="2022-07-01T00:00:00" endDate="2023-01-02T00:00:00"/>
        <groupItems count="14">
          <s v="&lt;01.07.2022"/>
          <s v="Jan"/>
          <s v="Feb"/>
          <s v="Mrz"/>
          <s v="Apr"/>
          <s v="Mai"/>
          <s v="Jun"/>
          <s v="Jul"/>
          <s v="Aug"/>
          <s v="Sep"/>
          <s v="Okt"/>
          <s v="Nov"/>
          <s v="Dez"/>
          <s v="&gt;02.01.2023"/>
        </groupItems>
      </fieldGroup>
    </cacheField>
    <cacheField name="Jahre" numFmtId="0" databaseField="0">
      <fieldGroup base="0">
        <rangePr groupBy="years" startDate="2022-07-01T00:00:00" endDate="2023-01-02T00:00:00"/>
        <groupItems count="4">
          <s v="&lt;01.07.2022"/>
          <s v="2022"/>
          <s v="2023"/>
          <s v="&gt;02.01.2023"/>
        </groupItems>
      </fieldGroup>
    </cacheField>
    <cacheField name="Wochenquote" numFmtId="0" formula="'Anzahl der Abwesenheitstagen'/ 132" databaseField="0"/>
    <cacheField name="Krankheitsquote" numFmtId="0" formula="'Anzahl der Abwesenheitstagen'/Sollarbeitstage" databaseField="0"/>
  </cacheFields>
  <extLst>
    <ext xmlns:x14="http://schemas.microsoft.com/office/spreadsheetml/2009/9/main" uri="{725AE2AE-9491-48be-B2B4-4EB974FC3084}">
      <x14:pivotCacheDefinition pivotCacheId="49555209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70">
  <r>
    <x v="0"/>
    <x v="0"/>
    <x v="0"/>
    <x v="0"/>
    <x v="0"/>
    <n v="4"/>
    <n v="1"/>
    <x v="0"/>
  </r>
  <r>
    <x v="0"/>
    <x v="0"/>
    <x v="0"/>
    <x v="0"/>
    <x v="1"/>
    <n v="4"/>
    <n v="0"/>
    <x v="0"/>
  </r>
  <r>
    <x v="0"/>
    <x v="0"/>
    <x v="1"/>
    <x v="1"/>
    <x v="1"/>
    <n v="4"/>
    <n v="0"/>
    <x v="0"/>
  </r>
  <r>
    <x v="0"/>
    <x v="0"/>
    <x v="1"/>
    <x v="1"/>
    <x v="0"/>
    <n v="4"/>
    <n v="0"/>
    <x v="0"/>
  </r>
  <r>
    <x v="0"/>
    <x v="0"/>
    <x v="2"/>
    <x v="2"/>
    <x v="0"/>
    <n v="4"/>
    <n v="0"/>
    <x v="0"/>
  </r>
  <r>
    <x v="0"/>
    <x v="0"/>
    <x v="2"/>
    <x v="2"/>
    <x v="1"/>
    <n v="4"/>
    <n v="0"/>
    <x v="0"/>
  </r>
  <r>
    <x v="0"/>
    <x v="0"/>
    <x v="3"/>
    <x v="1"/>
    <x v="0"/>
    <n v="4"/>
    <n v="0"/>
    <x v="0"/>
  </r>
  <r>
    <x v="0"/>
    <x v="0"/>
    <x v="3"/>
    <x v="1"/>
    <x v="1"/>
    <n v="4"/>
    <n v="0"/>
    <x v="0"/>
  </r>
  <r>
    <x v="0"/>
    <x v="0"/>
    <x v="4"/>
    <x v="0"/>
    <x v="0"/>
    <n v="4"/>
    <n v="1"/>
    <x v="0"/>
  </r>
  <r>
    <x v="0"/>
    <x v="0"/>
    <x v="4"/>
    <x v="0"/>
    <x v="1"/>
    <n v="4"/>
    <n v="0"/>
    <x v="0"/>
  </r>
  <r>
    <x v="0"/>
    <x v="0"/>
    <x v="5"/>
    <x v="0"/>
    <x v="0"/>
    <n v="4"/>
    <n v="0"/>
    <x v="0"/>
  </r>
  <r>
    <x v="0"/>
    <x v="0"/>
    <x v="5"/>
    <x v="0"/>
    <x v="1"/>
    <n v="4"/>
    <n v="0"/>
    <x v="0"/>
  </r>
  <r>
    <x v="0"/>
    <x v="0"/>
    <x v="6"/>
    <x v="2"/>
    <x v="0"/>
    <n v="4"/>
    <n v="0"/>
    <x v="0"/>
  </r>
  <r>
    <x v="0"/>
    <x v="0"/>
    <x v="6"/>
    <x v="2"/>
    <x v="1"/>
    <n v="4"/>
    <n v="0"/>
    <x v="0"/>
  </r>
  <r>
    <x v="0"/>
    <x v="0"/>
    <x v="7"/>
    <x v="0"/>
    <x v="0"/>
    <n v="4"/>
    <n v="0"/>
    <x v="0"/>
  </r>
  <r>
    <x v="0"/>
    <x v="0"/>
    <x v="7"/>
    <x v="0"/>
    <x v="1"/>
    <n v="4"/>
    <n v="0"/>
    <x v="0"/>
  </r>
  <r>
    <x v="0"/>
    <x v="0"/>
    <x v="8"/>
    <x v="2"/>
    <x v="0"/>
    <n v="4"/>
    <n v="0"/>
    <x v="0"/>
  </r>
  <r>
    <x v="0"/>
    <x v="0"/>
    <x v="8"/>
    <x v="2"/>
    <x v="1"/>
    <n v="4"/>
    <n v="0"/>
    <x v="0"/>
  </r>
  <r>
    <x v="0"/>
    <x v="0"/>
    <x v="9"/>
    <x v="2"/>
    <x v="0"/>
    <n v="4"/>
    <n v="0"/>
    <x v="0"/>
  </r>
  <r>
    <x v="0"/>
    <x v="0"/>
    <x v="9"/>
    <x v="2"/>
    <x v="1"/>
    <n v="4"/>
    <n v="0"/>
    <x v="0"/>
  </r>
  <r>
    <x v="0"/>
    <x v="0"/>
    <x v="10"/>
    <x v="1"/>
    <x v="1"/>
    <n v="4"/>
    <n v="0"/>
    <x v="0"/>
  </r>
  <r>
    <x v="0"/>
    <x v="0"/>
    <x v="10"/>
    <x v="1"/>
    <x v="0"/>
    <n v="4"/>
    <n v="1"/>
    <x v="0"/>
  </r>
  <r>
    <x v="0"/>
    <x v="1"/>
    <x v="0"/>
    <x v="0"/>
    <x v="0"/>
    <n v="4"/>
    <n v="0"/>
    <x v="1"/>
  </r>
  <r>
    <x v="0"/>
    <x v="1"/>
    <x v="0"/>
    <x v="0"/>
    <x v="1"/>
    <n v="4"/>
    <n v="0"/>
    <x v="1"/>
  </r>
  <r>
    <x v="0"/>
    <x v="1"/>
    <x v="1"/>
    <x v="1"/>
    <x v="0"/>
    <n v="4"/>
    <n v="0"/>
    <x v="1"/>
  </r>
  <r>
    <x v="0"/>
    <x v="1"/>
    <x v="1"/>
    <x v="1"/>
    <x v="1"/>
    <n v="4"/>
    <n v="0"/>
    <x v="1"/>
  </r>
  <r>
    <x v="0"/>
    <x v="1"/>
    <x v="2"/>
    <x v="2"/>
    <x v="0"/>
    <n v="4"/>
    <n v="0"/>
    <x v="1"/>
  </r>
  <r>
    <x v="0"/>
    <x v="1"/>
    <x v="2"/>
    <x v="2"/>
    <x v="1"/>
    <n v="4"/>
    <n v="0"/>
    <x v="1"/>
  </r>
  <r>
    <x v="0"/>
    <x v="1"/>
    <x v="3"/>
    <x v="1"/>
    <x v="0"/>
    <n v="4"/>
    <n v="0"/>
    <x v="1"/>
  </r>
  <r>
    <x v="0"/>
    <x v="1"/>
    <x v="3"/>
    <x v="1"/>
    <x v="1"/>
    <n v="4"/>
    <n v="0"/>
    <x v="1"/>
  </r>
  <r>
    <x v="0"/>
    <x v="1"/>
    <x v="4"/>
    <x v="0"/>
    <x v="0"/>
    <n v="4"/>
    <n v="0"/>
    <x v="1"/>
  </r>
  <r>
    <x v="0"/>
    <x v="1"/>
    <x v="4"/>
    <x v="0"/>
    <x v="1"/>
    <n v="4"/>
    <n v="0"/>
    <x v="1"/>
  </r>
  <r>
    <x v="0"/>
    <x v="1"/>
    <x v="5"/>
    <x v="0"/>
    <x v="0"/>
    <n v="4"/>
    <n v="0"/>
    <x v="1"/>
  </r>
  <r>
    <x v="0"/>
    <x v="1"/>
    <x v="5"/>
    <x v="0"/>
    <x v="1"/>
    <n v="4"/>
    <n v="0"/>
    <x v="1"/>
  </r>
  <r>
    <x v="0"/>
    <x v="1"/>
    <x v="6"/>
    <x v="2"/>
    <x v="0"/>
    <n v="4"/>
    <n v="0"/>
    <x v="1"/>
  </r>
  <r>
    <x v="0"/>
    <x v="1"/>
    <x v="6"/>
    <x v="2"/>
    <x v="1"/>
    <n v="4"/>
    <n v="0"/>
    <x v="1"/>
  </r>
  <r>
    <x v="0"/>
    <x v="1"/>
    <x v="7"/>
    <x v="0"/>
    <x v="0"/>
    <n v="4"/>
    <n v="0"/>
    <x v="1"/>
  </r>
  <r>
    <x v="0"/>
    <x v="1"/>
    <x v="7"/>
    <x v="0"/>
    <x v="1"/>
    <n v="4"/>
    <n v="0"/>
    <x v="1"/>
  </r>
  <r>
    <x v="0"/>
    <x v="1"/>
    <x v="8"/>
    <x v="2"/>
    <x v="0"/>
    <n v="4"/>
    <n v="0"/>
    <x v="1"/>
  </r>
  <r>
    <x v="0"/>
    <x v="1"/>
    <x v="8"/>
    <x v="2"/>
    <x v="1"/>
    <n v="4"/>
    <n v="0"/>
    <x v="1"/>
  </r>
  <r>
    <x v="0"/>
    <x v="1"/>
    <x v="9"/>
    <x v="2"/>
    <x v="0"/>
    <n v="4"/>
    <n v="0"/>
    <x v="1"/>
  </r>
  <r>
    <x v="0"/>
    <x v="1"/>
    <x v="9"/>
    <x v="2"/>
    <x v="1"/>
    <n v="4"/>
    <n v="0"/>
    <x v="1"/>
  </r>
  <r>
    <x v="0"/>
    <x v="1"/>
    <x v="10"/>
    <x v="1"/>
    <x v="0"/>
    <n v="4"/>
    <n v="1"/>
    <x v="1"/>
  </r>
  <r>
    <x v="0"/>
    <x v="1"/>
    <x v="10"/>
    <x v="1"/>
    <x v="1"/>
    <n v="4"/>
    <n v="0"/>
    <x v="1"/>
  </r>
  <r>
    <x v="0"/>
    <x v="2"/>
    <x v="0"/>
    <x v="0"/>
    <x v="1"/>
    <n v="4"/>
    <n v="0"/>
    <x v="2"/>
  </r>
  <r>
    <x v="0"/>
    <x v="2"/>
    <x v="0"/>
    <x v="0"/>
    <x v="0"/>
    <n v="4"/>
    <n v="0"/>
    <x v="2"/>
  </r>
  <r>
    <x v="0"/>
    <x v="2"/>
    <x v="1"/>
    <x v="1"/>
    <x v="0"/>
    <n v="4"/>
    <n v="0"/>
    <x v="2"/>
  </r>
  <r>
    <x v="0"/>
    <x v="2"/>
    <x v="1"/>
    <x v="1"/>
    <x v="1"/>
    <n v="4"/>
    <n v="0"/>
    <x v="2"/>
  </r>
  <r>
    <x v="0"/>
    <x v="2"/>
    <x v="2"/>
    <x v="2"/>
    <x v="1"/>
    <n v="4"/>
    <n v="0"/>
    <x v="2"/>
  </r>
  <r>
    <x v="0"/>
    <x v="2"/>
    <x v="2"/>
    <x v="2"/>
    <x v="0"/>
    <n v="4"/>
    <n v="0"/>
    <x v="2"/>
  </r>
  <r>
    <x v="0"/>
    <x v="2"/>
    <x v="3"/>
    <x v="1"/>
    <x v="0"/>
    <n v="4"/>
    <n v="0"/>
    <x v="2"/>
  </r>
  <r>
    <x v="0"/>
    <x v="2"/>
    <x v="3"/>
    <x v="1"/>
    <x v="1"/>
    <n v="4"/>
    <n v="0"/>
    <x v="2"/>
  </r>
  <r>
    <x v="0"/>
    <x v="2"/>
    <x v="4"/>
    <x v="0"/>
    <x v="0"/>
    <n v="4"/>
    <n v="0"/>
    <x v="2"/>
  </r>
  <r>
    <x v="0"/>
    <x v="2"/>
    <x v="4"/>
    <x v="0"/>
    <x v="1"/>
    <n v="4"/>
    <n v="0"/>
    <x v="2"/>
  </r>
  <r>
    <x v="0"/>
    <x v="2"/>
    <x v="5"/>
    <x v="0"/>
    <x v="0"/>
    <n v="4"/>
    <n v="0"/>
    <x v="2"/>
  </r>
  <r>
    <x v="0"/>
    <x v="2"/>
    <x v="5"/>
    <x v="0"/>
    <x v="1"/>
    <n v="4"/>
    <n v="0"/>
    <x v="2"/>
  </r>
  <r>
    <x v="0"/>
    <x v="2"/>
    <x v="6"/>
    <x v="2"/>
    <x v="0"/>
    <n v="4"/>
    <n v="0"/>
    <x v="2"/>
  </r>
  <r>
    <x v="0"/>
    <x v="2"/>
    <x v="6"/>
    <x v="2"/>
    <x v="1"/>
    <n v="4"/>
    <n v="0"/>
    <x v="2"/>
  </r>
  <r>
    <x v="0"/>
    <x v="2"/>
    <x v="7"/>
    <x v="0"/>
    <x v="0"/>
    <n v="4"/>
    <n v="0"/>
    <x v="2"/>
  </r>
  <r>
    <x v="0"/>
    <x v="2"/>
    <x v="7"/>
    <x v="0"/>
    <x v="1"/>
    <n v="4"/>
    <n v="0"/>
    <x v="2"/>
  </r>
  <r>
    <x v="0"/>
    <x v="2"/>
    <x v="8"/>
    <x v="2"/>
    <x v="0"/>
    <n v="4"/>
    <n v="0"/>
    <x v="2"/>
  </r>
  <r>
    <x v="0"/>
    <x v="2"/>
    <x v="8"/>
    <x v="2"/>
    <x v="1"/>
    <n v="4"/>
    <n v="0"/>
    <x v="2"/>
  </r>
  <r>
    <x v="0"/>
    <x v="2"/>
    <x v="9"/>
    <x v="2"/>
    <x v="0"/>
    <n v="4"/>
    <n v="0"/>
    <x v="2"/>
  </r>
  <r>
    <x v="0"/>
    <x v="2"/>
    <x v="9"/>
    <x v="2"/>
    <x v="1"/>
    <n v="4"/>
    <n v="0"/>
    <x v="2"/>
  </r>
  <r>
    <x v="0"/>
    <x v="2"/>
    <x v="10"/>
    <x v="1"/>
    <x v="0"/>
    <n v="4"/>
    <n v="0"/>
    <x v="2"/>
  </r>
  <r>
    <x v="0"/>
    <x v="2"/>
    <x v="10"/>
    <x v="1"/>
    <x v="1"/>
    <n v="4"/>
    <n v="0"/>
    <x v="2"/>
  </r>
  <r>
    <x v="0"/>
    <x v="3"/>
    <x v="0"/>
    <x v="0"/>
    <x v="0"/>
    <n v="4"/>
    <n v="0"/>
    <x v="3"/>
  </r>
  <r>
    <x v="0"/>
    <x v="3"/>
    <x v="0"/>
    <x v="0"/>
    <x v="1"/>
    <n v="4"/>
    <n v="0"/>
    <x v="3"/>
  </r>
  <r>
    <x v="0"/>
    <x v="3"/>
    <x v="1"/>
    <x v="1"/>
    <x v="0"/>
    <n v="4"/>
    <n v="0"/>
    <x v="3"/>
  </r>
  <r>
    <x v="0"/>
    <x v="3"/>
    <x v="1"/>
    <x v="1"/>
    <x v="1"/>
    <n v="4"/>
    <n v="0"/>
    <x v="3"/>
  </r>
  <r>
    <x v="0"/>
    <x v="3"/>
    <x v="2"/>
    <x v="2"/>
    <x v="1"/>
    <n v="4"/>
    <n v="0"/>
    <x v="3"/>
  </r>
  <r>
    <x v="0"/>
    <x v="3"/>
    <x v="2"/>
    <x v="2"/>
    <x v="0"/>
    <n v="4"/>
    <n v="0"/>
    <x v="3"/>
  </r>
  <r>
    <x v="0"/>
    <x v="3"/>
    <x v="3"/>
    <x v="1"/>
    <x v="0"/>
    <n v="4"/>
    <n v="0"/>
    <x v="3"/>
  </r>
  <r>
    <x v="0"/>
    <x v="3"/>
    <x v="3"/>
    <x v="1"/>
    <x v="1"/>
    <n v="4"/>
    <n v="0"/>
    <x v="3"/>
  </r>
  <r>
    <x v="0"/>
    <x v="3"/>
    <x v="4"/>
    <x v="0"/>
    <x v="0"/>
    <n v="4"/>
    <n v="0"/>
    <x v="3"/>
  </r>
  <r>
    <x v="0"/>
    <x v="3"/>
    <x v="4"/>
    <x v="0"/>
    <x v="1"/>
    <n v="4"/>
    <n v="0"/>
    <x v="3"/>
  </r>
  <r>
    <x v="0"/>
    <x v="3"/>
    <x v="5"/>
    <x v="0"/>
    <x v="0"/>
    <n v="4"/>
    <n v="0"/>
    <x v="3"/>
  </r>
  <r>
    <x v="0"/>
    <x v="3"/>
    <x v="5"/>
    <x v="0"/>
    <x v="1"/>
    <n v="4"/>
    <n v="0"/>
    <x v="3"/>
  </r>
  <r>
    <x v="0"/>
    <x v="3"/>
    <x v="6"/>
    <x v="2"/>
    <x v="0"/>
    <n v="4"/>
    <n v="0"/>
    <x v="3"/>
  </r>
  <r>
    <x v="0"/>
    <x v="3"/>
    <x v="6"/>
    <x v="2"/>
    <x v="1"/>
    <n v="4"/>
    <n v="0"/>
    <x v="3"/>
  </r>
  <r>
    <x v="0"/>
    <x v="3"/>
    <x v="7"/>
    <x v="0"/>
    <x v="0"/>
    <n v="4"/>
    <n v="0"/>
    <x v="3"/>
  </r>
  <r>
    <x v="0"/>
    <x v="3"/>
    <x v="7"/>
    <x v="0"/>
    <x v="1"/>
    <n v="4"/>
    <n v="0"/>
    <x v="3"/>
  </r>
  <r>
    <x v="0"/>
    <x v="3"/>
    <x v="8"/>
    <x v="2"/>
    <x v="0"/>
    <n v="4"/>
    <n v="0"/>
    <x v="3"/>
  </r>
  <r>
    <x v="0"/>
    <x v="3"/>
    <x v="8"/>
    <x v="2"/>
    <x v="1"/>
    <n v="4"/>
    <n v="0"/>
    <x v="3"/>
  </r>
  <r>
    <x v="0"/>
    <x v="3"/>
    <x v="9"/>
    <x v="2"/>
    <x v="1"/>
    <n v="4"/>
    <n v="0"/>
    <x v="3"/>
  </r>
  <r>
    <x v="0"/>
    <x v="3"/>
    <x v="9"/>
    <x v="2"/>
    <x v="0"/>
    <n v="4"/>
    <n v="0"/>
    <x v="3"/>
  </r>
  <r>
    <x v="0"/>
    <x v="3"/>
    <x v="10"/>
    <x v="1"/>
    <x v="1"/>
    <n v="4"/>
    <n v="0"/>
    <x v="3"/>
  </r>
  <r>
    <x v="0"/>
    <x v="3"/>
    <x v="10"/>
    <x v="1"/>
    <x v="0"/>
    <n v="4"/>
    <n v="1"/>
    <x v="3"/>
  </r>
  <r>
    <x v="0"/>
    <x v="4"/>
    <x v="0"/>
    <x v="0"/>
    <x v="0"/>
    <n v="5"/>
    <n v="0"/>
    <x v="4"/>
  </r>
  <r>
    <x v="0"/>
    <x v="4"/>
    <x v="0"/>
    <x v="0"/>
    <x v="1"/>
    <n v="5"/>
    <n v="0"/>
    <x v="4"/>
  </r>
  <r>
    <x v="0"/>
    <x v="4"/>
    <x v="1"/>
    <x v="1"/>
    <x v="0"/>
    <n v="5"/>
    <n v="0"/>
    <x v="4"/>
  </r>
  <r>
    <x v="0"/>
    <x v="4"/>
    <x v="1"/>
    <x v="1"/>
    <x v="1"/>
    <n v="5"/>
    <n v="0"/>
    <x v="4"/>
  </r>
  <r>
    <x v="0"/>
    <x v="4"/>
    <x v="2"/>
    <x v="2"/>
    <x v="0"/>
    <n v="5"/>
    <n v="0"/>
    <x v="4"/>
  </r>
  <r>
    <x v="0"/>
    <x v="4"/>
    <x v="2"/>
    <x v="2"/>
    <x v="1"/>
    <n v="5"/>
    <n v="0"/>
    <x v="4"/>
  </r>
  <r>
    <x v="0"/>
    <x v="4"/>
    <x v="3"/>
    <x v="1"/>
    <x v="0"/>
    <n v="5"/>
    <n v="0"/>
    <x v="4"/>
  </r>
  <r>
    <x v="0"/>
    <x v="4"/>
    <x v="3"/>
    <x v="1"/>
    <x v="1"/>
    <n v="5"/>
    <n v="0"/>
    <x v="4"/>
  </r>
  <r>
    <x v="0"/>
    <x v="4"/>
    <x v="4"/>
    <x v="0"/>
    <x v="0"/>
    <n v="5"/>
    <n v="0"/>
    <x v="4"/>
  </r>
  <r>
    <x v="0"/>
    <x v="4"/>
    <x v="4"/>
    <x v="0"/>
    <x v="1"/>
    <n v="5"/>
    <n v="0"/>
    <x v="4"/>
  </r>
  <r>
    <x v="0"/>
    <x v="4"/>
    <x v="5"/>
    <x v="0"/>
    <x v="0"/>
    <n v="5"/>
    <n v="0"/>
    <x v="4"/>
  </r>
  <r>
    <x v="0"/>
    <x v="4"/>
    <x v="5"/>
    <x v="0"/>
    <x v="1"/>
    <n v="5"/>
    <n v="0"/>
    <x v="4"/>
  </r>
  <r>
    <x v="0"/>
    <x v="4"/>
    <x v="6"/>
    <x v="2"/>
    <x v="0"/>
    <n v="5"/>
    <n v="0"/>
    <x v="4"/>
  </r>
  <r>
    <x v="0"/>
    <x v="4"/>
    <x v="6"/>
    <x v="2"/>
    <x v="1"/>
    <n v="5"/>
    <n v="0"/>
    <x v="4"/>
  </r>
  <r>
    <x v="0"/>
    <x v="4"/>
    <x v="7"/>
    <x v="0"/>
    <x v="0"/>
    <n v="5"/>
    <n v="0"/>
    <x v="4"/>
  </r>
  <r>
    <x v="0"/>
    <x v="4"/>
    <x v="7"/>
    <x v="0"/>
    <x v="1"/>
    <n v="5"/>
    <n v="0"/>
    <x v="4"/>
  </r>
  <r>
    <x v="0"/>
    <x v="4"/>
    <x v="8"/>
    <x v="2"/>
    <x v="0"/>
    <n v="5"/>
    <n v="0"/>
    <x v="4"/>
  </r>
  <r>
    <x v="0"/>
    <x v="4"/>
    <x v="8"/>
    <x v="2"/>
    <x v="1"/>
    <n v="5"/>
    <n v="0"/>
    <x v="4"/>
  </r>
  <r>
    <x v="0"/>
    <x v="4"/>
    <x v="9"/>
    <x v="2"/>
    <x v="0"/>
    <n v="5"/>
    <n v="0"/>
    <x v="4"/>
  </r>
  <r>
    <x v="0"/>
    <x v="4"/>
    <x v="9"/>
    <x v="2"/>
    <x v="1"/>
    <n v="5"/>
    <n v="0"/>
    <x v="4"/>
  </r>
  <r>
    <x v="0"/>
    <x v="4"/>
    <x v="10"/>
    <x v="1"/>
    <x v="1"/>
    <n v="5"/>
    <n v="0"/>
    <x v="4"/>
  </r>
  <r>
    <x v="0"/>
    <x v="4"/>
    <x v="10"/>
    <x v="1"/>
    <x v="0"/>
    <n v="5"/>
    <n v="1"/>
    <x v="4"/>
  </r>
  <r>
    <x v="1"/>
    <x v="0"/>
    <x v="0"/>
    <x v="0"/>
    <x v="0"/>
    <n v="5"/>
    <n v="0"/>
    <x v="0"/>
  </r>
  <r>
    <x v="1"/>
    <x v="0"/>
    <x v="0"/>
    <x v="0"/>
    <x v="1"/>
    <n v="5"/>
    <n v="0"/>
    <x v="0"/>
  </r>
  <r>
    <x v="1"/>
    <x v="0"/>
    <x v="1"/>
    <x v="1"/>
    <x v="1"/>
    <n v="5"/>
    <n v="0"/>
    <x v="0"/>
  </r>
  <r>
    <x v="1"/>
    <x v="0"/>
    <x v="1"/>
    <x v="1"/>
    <x v="0"/>
    <n v="5"/>
    <n v="2"/>
    <x v="0"/>
  </r>
  <r>
    <x v="1"/>
    <x v="0"/>
    <x v="2"/>
    <x v="2"/>
    <x v="1"/>
    <n v="5"/>
    <n v="0"/>
    <x v="0"/>
  </r>
  <r>
    <x v="1"/>
    <x v="0"/>
    <x v="2"/>
    <x v="2"/>
    <x v="0"/>
    <n v="5"/>
    <n v="0"/>
    <x v="0"/>
  </r>
  <r>
    <x v="1"/>
    <x v="0"/>
    <x v="3"/>
    <x v="1"/>
    <x v="0"/>
    <n v="5"/>
    <n v="0"/>
    <x v="0"/>
  </r>
  <r>
    <x v="1"/>
    <x v="0"/>
    <x v="3"/>
    <x v="1"/>
    <x v="1"/>
    <n v="5"/>
    <n v="0"/>
    <x v="0"/>
  </r>
  <r>
    <x v="1"/>
    <x v="0"/>
    <x v="4"/>
    <x v="0"/>
    <x v="0"/>
    <n v="5"/>
    <n v="1"/>
    <x v="0"/>
  </r>
  <r>
    <x v="1"/>
    <x v="0"/>
    <x v="4"/>
    <x v="0"/>
    <x v="1"/>
    <n v="5"/>
    <n v="0"/>
    <x v="0"/>
  </r>
  <r>
    <x v="1"/>
    <x v="0"/>
    <x v="5"/>
    <x v="0"/>
    <x v="0"/>
    <n v="5"/>
    <n v="0"/>
    <x v="0"/>
  </r>
  <r>
    <x v="1"/>
    <x v="0"/>
    <x v="5"/>
    <x v="0"/>
    <x v="1"/>
    <n v="5"/>
    <n v="0"/>
    <x v="0"/>
  </r>
  <r>
    <x v="1"/>
    <x v="0"/>
    <x v="6"/>
    <x v="2"/>
    <x v="1"/>
    <n v="5"/>
    <n v="0"/>
    <x v="0"/>
  </r>
  <r>
    <x v="1"/>
    <x v="0"/>
    <x v="6"/>
    <x v="2"/>
    <x v="0"/>
    <n v="5"/>
    <n v="0"/>
    <x v="0"/>
  </r>
  <r>
    <x v="1"/>
    <x v="0"/>
    <x v="7"/>
    <x v="0"/>
    <x v="0"/>
    <n v="5"/>
    <n v="0"/>
    <x v="0"/>
  </r>
  <r>
    <x v="1"/>
    <x v="0"/>
    <x v="7"/>
    <x v="0"/>
    <x v="1"/>
    <n v="5"/>
    <n v="0"/>
    <x v="0"/>
  </r>
  <r>
    <x v="1"/>
    <x v="0"/>
    <x v="8"/>
    <x v="2"/>
    <x v="0"/>
    <n v="5"/>
    <n v="0"/>
    <x v="0"/>
  </r>
  <r>
    <x v="1"/>
    <x v="0"/>
    <x v="8"/>
    <x v="2"/>
    <x v="1"/>
    <n v="5"/>
    <n v="0"/>
    <x v="0"/>
  </r>
  <r>
    <x v="1"/>
    <x v="0"/>
    <x v="9"/>
    <x v="2"/>
    <x v="0"/>
    <n v="5"/>
    <n v="1"/>
    <x v="0"/>
  </r>
  <r>
    <x v="1"/>
    <x v="0"/>
    <x v="9"/>
    <x v="2"/>
    <x v="1"/>
    <n v="5"/>
    <n v="0"/>
    <x v="0"/>
  </r>
  <r>
    <x v="1"/>
    <x v="0"/>
    <x v="10"/>
    <x v="1"/>
    <x v="0"/>
    <n v="5"/>
    <n v="0"/>
    <x v="0"/>
  </r>
  <r>
    <x v="1"/>
    <x v="0"/>
    <x v="10"/>
    <x v="1"/>
    <x v="1"/>
    <n v="5"/>
    <n v="2"/>
    <x v="0"/>
  </r>
  <r>
    <x v="1"/>
    <x v="1"/>
    <x v="0"/>
    <x v="0"/>
    <x v="0"/>
    <n v="5"/>
    <n v="0"/>
    <x v="1"/>
  </r>
  <r>
    <x v="1"/>
    <x v="1"/>
    <x v="0"/>
    <x v="0"/>
    <x v="1"/>
    <n v="5"/>
    <n v="0"/>
    <x v="1"/>
  </r>
  <r>
    <x v="1"/>
    <x v="1"/>
    <x v="1"/>
    <x v="1"/>
    <x v="1"/>
    <n v="5"/>
    <n v="0"/>
    <x v="1"/>
  </r>
  <r>
    <x v="1"/>
    <x v="1"/>
    <x v="1"/>
    <x v="1"/>
    <x v="0"/>
    <n v="5"/>
    <n v="2"/>
    <x v="1"/>
  </r>
  <r>
    <x v="1"/>
    <x v="1"/>
    <x v="2"/>
    <x v="2"/>
    <x v="0"/>
    <n v="5"/>
    <n v="0"/>
    <x v="1"/>
  </r>
  <r>
    <x v="1"/>
    <x v="1"/>
    <x v="2"/>
    <x v="2"/>
    <x v="1"/>
    <n v="5"/>
    <n v="0"/>
    <x v="1"/>
  </r>
  <r>
    <x v="1"/>
    <x v="1"/>
    <x v="3"/>
    <x v="1"/>
    <x v="0"/>
    <n v="5"/>
    <n v="0"/>
    <x v="1"/>
  </r>
  <r>
    <x v="1"/>
    <x v="1"/>
    <x v="3"/>
    <x v="1"/>
    <x v="1"/>
    <n v="5"/>
    <n v="0"/>
    <x v="1"/>
  </r>
  <r>
    <x v="1"/>
    <x v="1"/>
    <x v="4"/>
    <x v="0"/>
    <x v="0"/>
    <n v="5"/>
    <n v="1"/>
    <x v="1"/>
  </r>
  <r>
    <x v="1"/>
    <x v="1"/>
    <x v="4"/>
    <x v="0"/>
    <x v="1"/>
    <n v="5"/>
    <n v="0"/>
    <x v="1"/>
  </r>
  <r>
    <x v="1"/>
    <x v="1"/>
    <x v="5"/>
    <x v="0"/>
    <x v="0"/>
    <n v="5"/>
    <n v="0"/>
    <x v="1"/>
  </r>
  <r>
    <x v="1"/>
    <x v="1"/>
    <x v="5"/>
    <x v="0"/>
    <x v="1"/>
    <n v="5"/>
    <n v="0"/>
    <x v="1"/>
  </r>
  <r>
    <x v="1"/>
    <x v="1"/>
    <x v="6"/>
    <x v="2"/>
    <x v="0"/>
    <n v="5"/>
    <n v="0"/>
    <x v="1"/>
  </r>
  <r>
    <x v="1"/>
    <x v="1"/>
    <x v="6"/>
    <x v="2"/>
    <x v="1"/>
    <n v="5"/>
    <n v="0"/>
    <x v="1"/>
  </r>
  <r>
    <x v="1"/>
    <x v="1"/>
    <x v="7"/>
    <x v="0"/>
    <x v="0"/>
    <n v="5"/>
    <n v="0"/>
    <x v="1"/>
  </r>
  <r>
    <x v="1"/>
    <x v="1"/>
    <x v="7"/>
    <x v="0"/>
    <x v="1"/>
    <n v="5"/>
    <n v="0"/>
    <x v="1"/>
  </r>
  <r>
    <x v="1"/>
    <x v="1"/>
    <x v="8"/>
    <x v="2"/>
    <x v="0"/>
    <n v="5"/>
    <n v="0"/>
    <x v="1"/>
  </r>
  <r>
    <x v="1"/>
    <x v="1"/>
    <x v="8"/>
    <x v="2"/>
    <x v="1"/>
    <n v="5"/>
    <n v="0"/>
    <x v="1"/>
  </r>
  <r>
    <x v="1"/>
    <x v="1"/>
    <x v="9"/>
    <x v="2"/>
    <x v="0"/>
    <n v="5"/>
    <n v="1"/>
    <x v="1"/>
  </r>
  <r>
    <x v="1"/>
    <x v="1"/>
    <x v="9"/>
    <x v="2"/>
    <x v="1"/>
    <n v="5"/>
    <n v="0"/>
    <x v="1"/>
  </r>
  <r>
    <x v="1"/>
    <x v="1"/>
    <x v="10"/>
    <x v="1"/>
    <x v="1"/>
    <n v="5"/>
    <n v="3"/>
    <x v="1"/>
  </r>
  <r>
    <x v="1"/>
    <x v="1"/>
    <x v="10"/>
    <x v="1"/>
    <x v="0"/>
    <n v="5"/>
    <n v="0"/>
    <x v="1"/>
  </r>
  <r>
    <x v="1"/>
    <x v="2"/>
    <x v="0"/>
    <x v="0"/>
    <x v="0"/>
    <n v="5"/>
    <n v="1"/>
    <x v="2"/>
  </r>
  <r>
    <x v="1"/>
    <x v="2"/>
    <x v="0"/>
    <x v="0"/>
    <x v="1"/>
    <n v="5"/>
    <n v="0"/>
    <x v="2"/>
  </r>
  <r>
    <x v="1"/>
    <x v="2"/>
    <x v="1"/>
    <x v="1"/>
    <x v="0"/>
    <n v="5"/>
    <n v="1"/>
    <x v="2"/>
  </r>
  <r>
    <x v="1"/>
    <x v="2"/>
    <x v="1"/>
    <x v="1"/>
    <x v="1"/>
    <n v="5"/>
    <n v="0"/>
    <x v="2"/>
  </r>
  <r>
    <x v="1"/>
    <x v="2"/>
    <x v="2"/>
    <x v="2"/>
    <x v="0"/>
    <n v="5"/>
    <n v="0"/>
    <x v="2"/>
  </r>
  <r>
    <x v="1"/>
    <x v="2"/>
    <x v="2"/>
    <x v="2"/>
    <x v="1"/>
    <n v="5"/>
    <n v="0"/>
    <x v="2"/>
  </r>
  <r>
    <x v="1"/>
    <x v="2"/>
    <x v="3"/>
    <x v="1"/>
    <x v="0"/>
    <n v="5"/>
    <n v="0"/>
    <x v="2"/>
  </r>
  <r>
    <x v="1"/>
    <x v="2"/>
    <x v="3"/>
    <x v="1"/>
    <x v="1"/>
    <n v="5"/>
    <n v="0"/>
    <x v="2"/>
  </r>
  <r>
    <x v="1"/>
    <x v="2"/>
    <x v="4"/>
    <x v="0"/>
    <x v="0"/>
    <n v="5"/>
    <n v="0"/>
    <x v="2"/>
  </r>
  <r>
    <x v="1"/>
    <x v="2"/>
    <x v="4"/>
    <x v="0"/>
    <x v="1"/>
    <n v="5"/>
    <n v="0"/>
    <x v="2"/>
  </r>
  <r>
    <x v="1"/>
    <x v="2"/>
    <x v="5"/>
    <x v="0"/>
    <x v="0"/>
    <n v="5"/>
    <n v="0"/>
    <x v="2"/>
  </r>
  <r>
    <x v="1"/>
    <x v="2"/>
    <x v="5"/>
    <x v="0"/>
    <x v="1"/>
    <n v="5"/>
    <n v="0"/>
    <x v="2"/>
  </r>
  <r>
    <x v="1"/>
    <x v="2"/>
    <x v="6"/>
    <x v="2"/>
    <x v="0"/>
    <n v="5"/>
    <n v="0"/>
    <x v="2"/>
  </r>
  <r>
    <x v="1"/>
    <x v="2"/>
    <x v="6"/>
    <x v="2"/>
    <x v="1"/>
    <n v="5"/>
    <n v="0"/>
    <x v="2"/>
  </r>
  <r>
    <x v="1"/>
    <x v="2"/>
    <x v="7"/>
    <x v="0"/>
    <x v="0"/>
    <n v="5"/>
    <n v="0"/>
    <x v="2"/>
  </r>
  <r>
    <x v="1"/>
    <x v="2"/>
    <x v="7"/>
    <x v="0"/>
    <x v="1"/>
    <n v="5"/>
    <n v="0"/>
    <x v="2"/>
  </r>
  <r>
    <x v="1"/>
    <x v="2"/>
    <x v="8"/>
    <x v="2"/>
    <x v="0"/>
    <n v="5"/>
    <n v="0"/>
    <x v="2"/>
  </r>
  <r>
    <x v="1"/>
    <x v="2"/>
    <x v="8"/>
    <x v="2"/>
    <x v="1"/>
    <n v="5"/>
    <n v="0"/>
    <x v="2"/>
  </r>
  <r>
    <x v="1"/>
    <x v="2"/>
    <x v="9"/>
    <x v="2"/>
    <x v="0"/>
    <n v="5"/>
    <n v="1"/>
    <x v="2"/>
  </r>
  <r>
    <x v="1"/>
    <x v="2"/>
    <x v="9"/>
    <x v="2"/>
    <x v="1"/>
    <n v="5"/>
    <n v="0"/>
    <x v="2"/>
  </r>
  <r>
    <x v="1"/>
    <x v="2"/>
    <x v="10"/>
    <x v="1"/>
    <x v="0"/>
    <n v="5"/>
    <n v="0"/>
    <x v="2"/>
  </r>
  <r>
    <x v="1"/>
    <x v="2"/>
    <x v="10"/>
    <x v="1"/>
    <x v="1"/>
    <n v="5"/>
    <n v="3"/>
    <x v="2"/>
  </r>
  <r>
    <x v="1"/>
    <x v="3"/>
    <x v="0"/>
    <x v="0"/>
    <x v="1"/>
    <n v="4"/>
    <n v="0"/>
    <x v="3"/>
  </r>
  <r>
    <x v="1"/>
    <x v="3"/>
    <x v="0"/>
    <x v="0"/>
    <x v="0"/>
    <n v="4"/>
    <n v="0"/>
    <x v="3"/>
  </r>
  <r>
    <x v="1"/>
    <x v="3"/>
    <x v="1"/>
    <x v="1"/>
    <x v="0"/>
    <n v="4"/>
    <n v="1"/>
    <x v="3"/>
  </r>
  <r>
    <x v="1"/>
    <x v="3"/>
    <x v="1"/>
    <x v="1"/>
    <x v="1"/>
    <n v="4"/>
    <n v="0"/>
    <x v="3"/>
  </r>
  <r>
    <x v="1"/>
    <x v="3"/>
    <x v="2"/>
    <x v="2"/>
    <x v="1"/>
    <n v="4"/>
    <n v="0"/>
    <x v="3"/>
  </r>
  <r>
    <x v="1"/>
    <x v="3"/>
    <x v="2"/>
    <x v="2"/>
    <x v="0"/>
    <n v="4"/>
    <n v="0"/>
    <x v="3"/>
  </r>
  <r>
    <x v="1"/>
    <x v="3"/>
    <x v="3"/>
    <x v="1"/>
    <x v="0"/>
    <n v="4"/>
    <n v="0"/>
    <x v="3"/>
  </r>
  <r>
    <x v="1"/>
    <x v="3"/>
    <x v="3"/>
    <x v="1"/>
    <x v="1"/>
    <n v="4"/>
    <n v="0"/>
    <x v="3"/>
  </r>
  <r>
    <x v="1"/>
    <x v="3"/>
    <x v="4"/>
    <x v="0"/>
    <x v="0"/>
    <n v="4"/>
    <n v="0"/>
    <x v="3"/>
  </r>
  <r>
    <x v="1"/>
    <x v="3"/>
    <x v="4"/>
    <x v="0"/>
    <x v="1"/>
    <n v="4"/>
    <n v="0"/>
    <x v="3"/>
  </r>
  <r>
    <x v="1"/>
    <x v="3"/>
    <x v="5"/>
    <x v="0"/>
    <x v="0"/>
    <n v="4"/>
    <n v="0"/>
    <x v="3"/>
  </r>
  <r>
    <x v="1"/>
    <x v="3"/>
    <x v="5"/>
    <x v="0"/>
    <x v="1"/>
    <n v="4"/>
    <n v="0"/>
    <x v="3"/>
  </r>
  <r>
    <x v="1"/>
    <x v="3"/>
    <x v="6"/>
    <x v="2"/>
    <x v="0"/>
    <n v="4"/>
    <n v="0"/>
    <x v="3"/>
  </r>
  <r>
    <x v="1"/>
    <x v="3"/>
    <x v="6"/>
    <x v="2"/>
    <x v="1"/>
    <n v="4"/>
    <n v="0"/>
    <x v="3"/>
  </r>
  <r>
    <x v="1"/>
    <x v="3"/>
    <x v="7"/>
    <x v="0"/>
    <x v="0"/>
    <n v="4"/>
    <n v="0"/>
    <x v="3"/>
  </r>
  <r>
    <x v="1"/>
    <x v="3"/>
    <x v="7"/>
    <x v="0"/>
    <x v="1"/>
    <n v="4"/>
    <n v="0"/>
    <x v="3"/>
  </r>
  <r>
    <x v="1"/>
    <x v="3"/>
    <x v="8"/>
    <x v="2"/>
    <x v="0"/>
    <n v="4"/>
    <n v="0"/>
    <x v="3"/>
  </r>
  <r>
    <x v="1"/>
    <x v="3"/>
    <x v="8"/>
    <x v="2"/>
    <x v="1"/>
    <n v="4"/>
    <n v="0"/>
    <x v="3"/>
  </r>
  <r>
    <x v="1"/>
    <x v="3"/>
    <x v="9"/>
    <x v="2"/>
    <x v="0"/>
    <n v="4"/>
    <n v="1"/>
    <x v="3"/>
  </r>
  <r>
    <x v="1"/>
    <x v="3"/>
    <x v="9"/>
    <x v="2"/>
    <x v="1"/>
    <n v="4"/>
    <n v="0"/>
    <x v="3"/>
  </r>
  <r>
    <x v="1"/>
    <x v="3"/>
    <x v="10"/>
    <x v="1"/>
    <x v="0"/>
    <n v="4"/>
    <n v="0"/>
    <x v="3"/>
  </r>
  <r>
    <x v="1"/>
    <x v="3"/>
    <x v="10"/>
    <x v="1"/>
    <x v="1"/>
    <n v="4"/>
    <n v="3"/>
    <x v="3"/>
  </r>
  <r>
    <x v="1"/>
    <x v="4"/>
    <x v="0"/>
    <x v="0"/>
    <x v="0"/>
    <n v="4"/>
    <n v="0"/>
    <x v="4"/>
  </r>
  <r>
    <x v="1"/>
    <x v="4"/>
    <x v="0"/>
    <x v="0"/>
    <x v="1"/>
    <n v="4"/>
    <n v="0"/>
    <x v="4"/>
  </r>
  <r>
    <x v="1"/>
    <x v="4"/>
    <x v="1"/>
    <x v="1"/>
    <x v="0"/>
    <n v="4"/>
    <n v="1"/>
    <x v="4"/>
  </r>
  <r>
    <x v="1"/>
    <x v="4"/>
    <x v="1"/>
    <x v="1"/>
    <x v="1"/>
    <n v="4"/>
    <n v="0"/>
    <x v="4"/>
  </r>
  <r>
    <x v="1"/>
    <x v="4"/>
    <x v="2"/>
    <x v="2"/>
    <x v="1"/>
    <n v="4"/>
    <n v="0"/>
    <x v="4"/>
  </r>
  <r>
    <x v="1"/>
    <x v="4"/>
    <x v="2"/>
    <x v="2"/>
    <x v="0"/>
    <n v="4"/>
    <n v="0"/>
    <x v="4"/>
  </r>
  <r>
    <x v="1"/>
    <x v="4"/>
    <x v="3"/>
    <x v="1"/>
    <x v="0"/>
    <n v="4"/>
    <n v="0"/>
    <x v="4"/>
  </r>
  <r>
    <x v="1"/>
    <x v="4"/>
    <x v="3"/>
    <x v="1"/>
    <x v="1"/>
    <n v="4"/>
    <n v="0"/>
    <x v="4"/>
  </r>
  <r>
    <x v="1"/>
    <x v="4"/>
    <x v="4"/>
    <x v="0"/>
    <x v="0"/>
    <n v="4"/>
    <n v="0"/>
    <x v="4"/>
  </r>
  <r>
    <x v="1"/>
    <x v="4"/>
    <x v="4"/>
    <x v="0"/>
    <x v="1"/>
    <n v="4"/>
    <n v="0"/>
    <x v="4"/>
  </r>
  <r>
    <x v="1"/>
    <x v="4"/>
    <x v="5"/>
    <x v="0"/>
    <x v="0"/>
    <n v="4"/>
    <n v="0"/>
    <x v="4"/>
  </r>
  <r>
    <x v="1"/>
    <x v="4"/>
    <x v="5"/>
    <x v="0"/>
    <x v="1"/>
    <n v="4"/>
    <n v="0"/>
    <x v="4"/>
  </r>
  <r>
    <x v="1"/>
    <x v="4"/>
    <x v="6"/>
    <x v="2"/>
    <x v="0"/>
    <n v="4"/>
    <n v="0"/>
    <x v="4"/>
  </r>
  <r>
    <x v="1"/>
    <x v="4"/>
    <x v="6"/>
    <x v="2"/>
    <x v="1"/>
    <n v="4"/>
    <n v="0"/>
    <x v="4"/>
  </r>
  <r>
    <x v="1"/>
    <x v="4"/>
    <x v="7"/>
    <x v="0"/>
    <x v="0"/>
    <n v="4"/>
    <n v="0"/>
    <x v="4"/>
  </r>
  <r>
    <x v="1"/>
    <x v="4"/>
    <x v="7"/>
    <x v="0"/>
    <x v="1"/>
    <n v="4"/>
    <n v="0"/>
    <x v="4"/>
  </r>
  <r>
    <x v="1"/>
    <x v="4"/>
    <x v="8"/>
    <x v="2"/>
    <x v="0"/>
    <n v="4"/>
    <n v="0"/>
    <x v="4"/>
  </r>
  <r>
    <x v="1"/>
    <x v="4"/>
    <x v="8"/>
    <x v="2"/>
    <x v="1"/>
    <n v="4"/>
    <n v="0"/>
    <x v="4"/>
  </r>
  <r>
    <x v="1"/>
    <x v="4"/>
    <x v="9"/>
    <x v="2"/>
    <x v="1"/>
    <n v="4"/>
    <n v="0"/>
    <x v="4"/>
  </r>
  <r>
    <x v="1"/>
    <x v="4"/>
    <x v="9"/>
    <x v="2"/>
    <x v="0"/>
    <n v="4"/>
    <n v="1"/>
    <x v="4"/>
  </r>
  <r>
    <x v="1"/>
    <x v="4"/>
    <x v="10"/>
    <x v="1"/>
    <x v="1"/>
    <n v="4"/>
    <n v="3"/>
    <x v="4"/>
  </r>
  <r>
    <x v="1"/>
    <x v="4"/>
    <x v="10"/>
    <x v="1"/>
    <x v="0"/>
    <n v="4"/>
    <n v="0"/>
    <x v="4"/>
  </r>
  <r>
    <x v="2"/>
    <x v="0"/>
    <x v="0"/>
    <x v="0"/>
    <x v="0"/>
    <n v="4"/>
    <n v="0"/>
    <x v="0"/>
  </r>
  <r>
    <x v="2"/>
    <x v="0"/>
    <x v="0"/>
    <x v="0"/>
    <x v="1"/>
    <n v="4"/>
    <n v="0"/>
    <x v="0"/>
  </r>
  <r>
    <x v="2"/>
    <x v="0"/>
    <x v="1"/>
    <x v="1"/>
    <x v="0"/>
    <n v="4"/>
    <n v="0"/>
    <x v="0"/>
  </r>
  <r>
    <x v="2"/>
    <x v="0"/>
    <x v="1"/>
    <x v="1"/>
    <x v="1"/>
    <n v="4"/>
    <n v="0"/>
    <x v="0"/>
  </r>
  <r>
    <x v="2"/>
    <x v="0"/>
    <x v="2"/>
    <x v="2"/>
    <x v="0"/>
    <n v="4"/>
    <n v="0"/>
    <x v="0"/>
  </r>
  <r>
    <x v="2"/>
    <x v="0"/>
    <x v="2"/>
    <x v="2"/>
    <x v="1"/>
    <n v="4"/>
    <n v="0"/>
    <x v="0"/>
  </r>
  <r>
    <x v="2"/>
    <x v="0"/>
    <x v="3"/>
    <x v="1"/>
    <x v="0"/>
    <n v="4"/>
    <n v="0"/>
    <x v="0"/>
  </r>
  <r>
    <x v="2"/>
    <x v="0"/>
    <x v="3"/>
    <x v="1"/>
    <x v="1"/>
    <n v="4"/>
    <n v="0"/>
    <x v="0"/>
  </r>
  <r>
    <x v="2"/>
    <x v="0"/>
    <x v="4"/>
    <x v="0"/>
    <x v="0"/>
    <n v="4"/>
    <n v="0"/>
    <x v="0"/>
  </r>
  <r>
    <x v="2"/>
    <x v="0"/>
    <x v="4"/>
    <x v="0"/>
    <x v="1"/>
    <n v="4"/>
    <n v="0"/>
    <x v="0"/>
  </r>
  <r>
    <x v="2"/>
    <x v="0"/>
    <x v="5"/>
    <x v="0"/>
    <x v="0"/>
    <n v="4"/>
    <n v="0"/>
    <x v="0"/>
  </r>
  <r>
    <x v="2"/>
    <x v="0"/>
    <x v="5"/>
    <x v="0"/>
    <x v="1"/>
    <n v="4"/>
    <n v="0"/>
    <x v="0"/>
  </r>
  <r>
    <x v="2"/>
    <x v="0"/>
    <x v="6"/>
    <x v="2"/>
    <x v="1"/>
    <n v="4"/>
    <n v="0"/>
    <x v="0"/>
  </r>
  <r>
    <x v="2"/>
    <x v="0"/>
    <x v="6"/>
    <x v="2"/>
    <x v="0"/>
    <n v="4"/>
    <n v="1"/>
    <x v="0"/>
  </r>
  <r>
    <x v="2"/>
    <x v="0"/>
    <x v="7"/>
    <x v="0"/>
    <x v="0"/>
    <n v="4"/>
    <n v="0"/>
    <x v="0"/>
  </r>
  <r>
    <x v="2"/>
    <x v="0"/>
    <x v="7"/>
    <x v="0"/>
    <x v="1"/>
    <n v="4"/>
    <n v="0"/>
    <x v="0"/>
  </r>
  <r>
    <x v="2"/>
    <x v="0"/>
    <x v="8"/>
    <x v="2"/>
    <x v="0"/>
    <n v="4"/>
    <n v="0"/>
    <x v="0"/>
  </r>
  <r>
    <x v="2"/>
    <x v="0"/>
    <x v="8"/>
    <x v="2"/>
    <x v="1"/>
    <n v="4"/>
    <n v="0"/>
    <x v="0"/>
  </r>
  <r>
    <x v="2"/>
    <x v="0"/>
    <x v="9"/>
    <x v="2"/>
    <x v="0"/>
    <n v="4"/>
    <n v="0"/>
    <x v="0"/>
  </r>
  <r>
    <x v="2"/>
    <x v="0"/>
    <x v="9"/>
    <x v="2"/>
    <x v="1"/>
    <n v="4"/>
    <n v="0"/>
    <x v="0"/>
  </r>
  <r>
    <x v="2"/>
    <x v="0"/>
    <x v="10"/>
    <x v="1"/>
    <x v="0"/>
    <n v="4"/>
    <n v="0"/>
    <x v="0"/>
  </r>
  <r>
    <x v="2"/>
    <x v="0"/>
    <x v="10"/>
    <x v="1"/>
    <x v="1"/>
    <n v="4"/>
    <n v="0"/>
    <x v="0"/>
  </r>
  <r>
    <x v="2"/>
    <x v="1"/>
    <x v="0"/>
    <x v="0"/>
    <x v="0"/>
    <n v="4"/>
    <n v="0"/>
    <x v="1"/>
  </r>
  <r>
    <x v="2"/>
    <x v="1"/>
    <x v="0"/>
    <x v="0"/>
    <x v="1"/>
    <n v="4"/>
    <n v="0"/>
    <x v="1"/>
  </r>
  <r>
    <x v="2"/>
    <x v="1"/>
    <x v="1"/>
    <x v="1"/>
    <x v="1"/>
    <n v="4"/>
    <n v="0"/>
    <x v="1"/>
  </r>
  <r>
    <x v="2"/>
    <x v="1"/>
    <x v="1"/>
    <x v="1"/>
    <x v="0"/>
    <n v="4"/>
    <n v="0"/>
    <x v="1"/>
  </r>
  <r>
    <x v="2"/>
    <x v="1"/>
    <x v="2"/>
    <x v="2"/>
    <x v="1"/>
    <n v="4"/>
    <n v="0"/>
    <x v="1"/>
  </r>
  <r>
    <x v="2"/>
    <x v="1"/>
    <x v="2"/>
    <x v="2"/>
    <x v="0"/>
    <n v="4"/>
    <n v="0"/>
    <x v="1"/>
  </r>
  <r>
    <x v="2"/>
    <x v="1"/>
    <x v="3"/>
    <x v="1"/>
    <x v="0"/>
    <n v="4"/>
    <n v="0"/>
    <x v="1"/>
  </r>
  <r>
    <x v="2"/>
    <x v="1"/>
    <x v="3"/>
    <x v="1"/>
    <x v="1"/>
    <n v="4"/>
    <n v="0"/>
    <x v="1"/>
  </r>
  <r>
    <x v="2"/>
    <x v="1"/>
    <x v="4"/>
    <x v="0"/>
    <x v="0"/>
    <n v="4"/>
    <n v="0"/>
    <x v="1"/>
  </r>
  <r>
    <x v="2"/>
    <x v="1"/>
    <x v="4"/>
    <x v="0"/>
    <x v="1"/>
    <n v="4"/>
    <n v="0"/>
    <x v="1"/>
  </r>
  <r>
    <x v="2"/>
    <x v="1"/>
    <x v="5"/>
    <x v="0"/>
    <x v="0"/>
    <n v="4"/>
    <n v="0"/>
    <x v="1"/>
  </r>
  <r>
    <x v="2"/>
    <x v="1"/>
    <x v="5"/>
    <x v="0"/>
    <x v="1"/>
    <n v="4"/>
    <n v="0"/>
    <x v="1"/>
  </r>
  <r>
    <x v="2"/>
    <x v="1"/>
    <x v="6"/>
    <x v="2"/>
    <x v="1"/>
    <n v="4"/>
    <n v="0"/>
    <x v="1"/>
  </r>
  <r>
    <x v="2"/>
    <x v="1"/>
    <x v="6"/>
    <x v="2"/>
    <x v="0"/>
    <n v="4"/>
    <n v="1"/>
    <x v="1"/>
  </r>
  <r>
    <x v="2"/>
    <x v="1"/>
    <x v="7"/>
    <x v="0"/>
    <x v="0"/>
    <n v="4"/>
    <n v="0"/>
    <x v="1"/>
  </r>
  <r>
    <x v="2"/>
    <x v="1"/>
    <x v="7"/>
    <x v="0"/>
    <x v="1"/>
    <n v="4"/>
    <n v="0"/>
    <x v="1"/>
  </r>
  <r>
    <x v="2"/>
    <x v="1"/>
    <x v="8"/>
    <x v="2"/>
    <x v="0"/>
    <n v="4"/>
    <n v="0"/>
    <x v="1"/>
  </r>
  <r>
    <x v="2"/>
    <x v="1"/>
    <x v="8"/>
    <x v="2"/>
    <x v="1"/>
    <n v="4"/>
    <n v="0"/>
    <x v="1"/>
  </r>
  <r>
    <x v="2"/>
    <x v="1"/>
    <x v="9"/>
    <x v="2"/>
    <x v="0"/>
    <n v="4"/>
    <n v="0"/>
    <x v="1"/>
  </r>
  <r>
    <x v="2"/>
    <x v="1"/>
    <x v="9"/>
    <x v="2"/>
    <x v="1"/>
    <n v="4"/>
    <n v="0"/>
    <x v="1"/>
  </r>
  <r>
    <x v="2"/>
    <x v="1"/>
    <x v="10"/>
    <x v="1"/>
    <x v="0"/>
    <n v="4"/>
    <n v="0"/>
    <x v="1"/>
  </r>
  <r>
    <x v="2"/>
    <x v="1"/>
    <x v="10"/>
    <x v="1"/>
    <x v="1"/>
    <n v="4"/>
    <n v="0"/>
    <x v="1"/>
  </r>
  <r>
    <x v="2"/>
    <x v="2"/>
    <x v="0"/>
    <x v="0"/>
    <x v="0"/>
    <n v="4"/>
    <n v="0"/>
    <x v="2"/>
  </r>
  <r>
    <x v="2"/>
    <x v="2"/>
    <x v="0"/>
    <x v="0"/>
    <x v="1"/>
    <n v="4"/>
    <n v="0"/>
    <x v="2"/>
  </r>
  <r>
    <x v="2"/>
    <x v="2"/>
    <x v="1"/>
    <x v="1"/>
    <x v="1"/>
    <n v="4"/>
    <n v="0"/>
    <x v="2"/>
  </r>
  <r>
    <x v="2"/>
    <x v="2"/>
    <x v="1"/>
    <x v="1"/>
    <x v="0"/>
    <n v="4"/>
    <n v="0"/>
    <x v="2"/>
  </r>
  <r>
    <x v="2"/>
    <x v="2"/>
    <x v="2"/>
    <x v="2"/>
    <x v="0"/>
    <n v="4"/>
    <n v="0"/>
    <x v="2"/>
  </r>
  <r>
    <x v="2"/>
    <x v="2"/>
    <x v="2"/>
    <x v="2"/>
    <x v="1"/>
    <n v="4"/>
    <n v="0"/>
    <x v="2"/>
  </r>
  <r>
    <x v="2"/>
    <x v="2"/>
    <x v="3"/>
    <x v="1"/>
    <x v="0"/>
    <n v="4"/>
    <n v="0"/>
    <x v="2"/>
  </r>
  <r>
    <x v="2"/>
    <x v="2"/>
    <x v="3"/>
    <x v="1"/>
    <x v="1"/>
    <n v="4"/>
    <n v="0"/>
    <x v="2"/>
  </r>
  <r>
    <x v="2"/>
    <x v="2"/>
    <x v="4"/>
    <x v="0"/>
    <x v="0"/>
    <n v="4"/>
    <n v="0"/>
    <x v="2"/>
  </r>
  <r>
    <x v="2"/>
    <x v="2"/>
    <x v="4"/>
    <x v="0"/>
    <x v="1"/>
    <n v="4"/>
    <n v="0"/>
    <x v="2"/>
  </r>
  <r>
    <x v="2"/>
    <x v="2"/>
    <x v="5"/>
    <x v="0"/>
    <x v="0"/>
    <n v="4"/>
    <n v="0"/>
    <x v="2"/>
  </r>
  <r>
    <x v="2"/>
    <x v="2"/>
    <x v="5"/>
    <x v="0"/>
    <x v="1"/>
    <n v="4"/>
    <n v="0"/>
    <x v="2"/>
  </r>
  <r>
    <x v="2"/>
    <x v="2"/>
    <x v="6"/>
    <x v="2"/>
    <x v="0"/>
    <n v="4"/>
    <n v="1"/>
    <x v="2"/>
  </r>
  <r>
    <x v="2"/>
    <x v="2"/>
    <x v="6"/>
    <x v="2"/>
    <x v="1"/>
    <n v="4"/>
    <n v="0"/>
    <x v="2"/>
  </r>
  <r>
    <x v="2"/>
    <x v="2"/>
    <x v="7"/>
    <x v="0"/>
    <x v="0"/>
    <n v="4"/>
    <n v="0"/>
    <x v="2"/>
  </r>
  <r>
    <x v="2"/>
    <x v="2"/>
    <x v="7"/>
    <x v="0"/>
    <x v="1"/>
    <n v="4"/>
    <n v="0"/>
    <x v="2"/>
  </r>
  <r>
    <x v="2"/>
    <x v="2"/>
    <x v="8"/>
    <x v="2"/>
    <x v="0"/>
    <n v="4"/>
    <n v="0"/>
    <x v="2"/>
  </r>
  <r>
    <x v="2"/>
    <x v="2"/>
    <x v="8"/>
    <x v="2"/>
    <x v="1"/>
    <n v="4"/>
    <n v="0"/>
    <x v="2"/>
  </r>
  <r>
    <x v="2"/>
    <x v="2"/>
    <x v="9"/>
    <x v="2"/>
    <x v="0"/>
    <n v="4"/>
    <n v="0"/>
    <x v="2"/>
  </r>
  <r>
    <x v="2"/>
    <x v="2"/>
    <x v="9"/>
    <x v="2"/>
    <x v="1"/>
    <n v="4"/>
    <n v="0"/>
    <x v="2"/>
  </r>
  <r>
    <x v="2"/>
    <x v="2"/>
    <x v="10"/>
    <x v="1"/>
    <x v="1"/>
    <n v="4"/>
    <n v="0"/>
    <x v="2"/>
  </r>
  <r>
    <x v="2"/>
    <x v="2"/>
    <x v="10"/>
    <x v="1"/>
    <x v="0"/>
    <n v="4"/>
    <n v="0"/>
    <x v="2"/>
  </r>
  <r>
    <x v="2"/>
    <x v="3"/>
    <x v="0"/>
    <x v="0"/>
    <x v="0"/>
    <n v="5"/>
    <n v="0"/>
    <x v="3"/>
  </r>
  <r>
    <x v="2"/>
    <x v="3"/>
    <x v="0"/>
    <x v="0"/>
    <x v="1"/>
    <n v="5"/>
    <n v="0"/>
    <x v="3"/>
  </r>
  <r>
    <x v="2"/>
    <x v="3"/>
    <x v="1"/>
    <x v="1"/>
    <x v="0"/>
    <n v="5"/>
    <n v="0"/>
    <x v="3"/>
  </r>
  <r>
    <x v="2"/>
    <x v="3"/>
    <x v="1"/>
    <x v="1"/>
    <x v="1"/>
    <n v="5"/>
    <n v="0"/>
    <x v="3"/>
  </r>
  <r>
    <x v="2"/>
    <x v="3"/>
    <x v="2"/>
    <x v="2"/>
    <x v="0"/>
    <n v="5"/>
    <n v="0"/>
    <x v="3"/>
  </r>
  <r>
    <x v="2"/>
    <x v="3"/>
    <x v="2"/>
    <x v="2"/>
    <x v="1"/>
    <n v="5"/>
    <n v="0"/>
    <x v="3"/>
  </r>
  <r>
    <x v="2"/>
    <x v="3"/>
    <x v="3"/>
    <x v="1"/>
    <x v="0"/>
    <n v="5"/>
    <n v="0"/>
    <x v="3"/>
  </r>
  <r>
    <x v="2"/>
    <x v="3"/>
    <x v="3"/>
    <x v="1"/>
    <x v="1"/>
    <n v="5"/>
    <n v="0"/>
    <x v="3"/>
  </r>
  <r>
    <x v="2"/>
    <x v="3"/>
    <x v="4"/>
    <x v="0"/>
    <x v="0"/>
    <n v="5"/>
    <n v="1"/>
    <x v="3"/>
  </r>
  <r>
    <x v="2"/>
    <x v="3"/>
    <x v="4"/>
    <x v="0"/>
    <x v="1"/>
    <n v="5"/>
    <n v="0"/>
    <x v="3"/>
  </r>
  <r>
    <x v="2"/>
    <x v="3"/>
    <x v="5"/>
    <x v="0"/>
    <x v="0"/>
    <n v="5"/>
    <n v="0"/>
    <x v="3"/>
  </r>
  <r>
    <x v="2"/>
    <x v="3"/>
    <x v="5"/>
    <x v="0"/>
    <x v="1"/>
    <n v="5"/>
    <n v="0"/>
    <x v="3"/>
  </r>
  <r>
    <x v="2"/>
    <x v="3"/>
    <x v="6"/>
    <x v="2"/>
    <x v="0"/>
    <n v="5"/>
    <n v="0"/>
    <x v="3"/>
  </r>
  <r>
    <x v="2"/>
    <x v="3"/>
    <x v="6"/>
    <x v="2"/>
    <x v="1"/>
    <n v="5"/>
    <n v="0"/>
    <x v="3"/>
  </r>
  <r>
    <x v="2"/>
    <x v="3"/>
    <x v="7"/>
    <x v="0"/>
    <x v="0"/>
    <n v="5"/>
    <n v="0"/>
    <x v="3"/>
  </r>
  <r>
    <x v="2"/>
    <x v="3"/>
    <x v="7"/>
    <x v="0"/>
    <x v="1"/>
    <n v="5"/>
    <n v="0"/>
    <x v="3"/>
  </r>
  <r>
    <x v="2"/>
    <x v="3"/>
    <x v="8"/>
    <x v="2"/>
    <x v="0"/>
    <n v="5"/>
    <n v="0"/>
    <x v="3"/>
  </r>
  <r>
    <x v="2"/>
    <x v="3"/>
    <x v="8"/>
    <x v="2"/>
    <x v="1"/>
    <n v="5"/>
    <n v="0"/>
    <x v="3"/>
  </r>
  <r>
    <x v="2"/>
    <x v="3"/>
    <x v="9"/>
    <x v="2"/>
    <x v="0"/>
    <n v="5"/>
    <n v="0"/>
    <x v="3"/>
  </r>
  <r>
    <x v="2"/>
    <x v="3"/>
    <x v="9"/>
    <x v="2"/>
    <x v="1"/>
    <n v="5"/>
    <n v="0"/>
    <x v="3"/>
  </r>
  <r>
    <x v="2"/>
    <x v="3"/>
    <x v="10"/>
    <x v="1"/>
    <x v="0"/>
    <n v="5"/>
    <n v="0"/>
    <x v="3"/>
  </r>
  <r>
    <x v="2"/>
    <x v="3"/>
    <x v="10"/>
    <x v="1"/>
    <x v="1"/>
    <n v="5"/>
    <n v="0"/>
    <x v="3"/>
  </r>
  <r>
    <x v="2"/>
    <x v="4"/>
    <x v="0"/>
    <x v="0"/>
    <x v="1"/>
    <n v="5"/>
    <n v="1"/>
    <x v="4"/>
  </r>
  <r>
    <x v="2"/>
    <x v="4"/>
    <x v="0"/>
    <x v="0"/>
    <x v="0"/>
    <n v="5"/>
    <n v="0"/>
    <x v="4"/>
  </r>
  <r>
    <x v="2"/>
    <x v="4"/>
    <x v="1"/>
    <x v="1"/>
    <x v="0"/>
    <n v="5"/>
    <n v="0"/>
    <x v="4"/>
  </r>
  <r>
    <x v="2"/>
    <x v="4"/>
    <x v="1"/>
    <x v="1"/>
    <x v="1"/>
    <n v="5"/>
    <n v="1"/>
    <x v="4"/>
  </r>
  <r>
    <x v="2"/>
    <x v="4"/>
    <x v="2"/>
    <x v="2"/>
    <x v="1"/>
    <n v="5"/>
    <n v="0"/>
    <x v="4"/>
  </r>
  <r>
    <x v="2"/>
    <x v="4"/>
    <x v="2"/>
    <x v="2"/>
    <x v="0"/>
    <n v="5"/>
    <n v="0"/>
    <x v="4"/>
  </r>
  <r>
    <x v="2"/>
    <x v="4"/>
    <x v="3"/>
    <x v="1"/>
    <x v="0"/>
    <n v="5"/>
    <n v="0"/>
    <x v="4"/>
  </r>
  <r>
    <x v="2"/>
    <x v="4"/>
    <x v="3"/>
    <x v="1"/>
    <x v="1"/>
    <n v="5"/>
    <n v="0"/>
    <x v="4"/>
  </r>
  <r>
    <x v="2"/>
    <x v="4"/>
    <x v="4"/>
    <x v="0"/>
    <x v="0"/>
    <n v="5"/>
    <n v="1"/>
    <x v="4"/>
  </r>
  <r>
    <x v="2"/>
    <x v="4"/>
    <x v="4"/>
    <x v="0"/>
    <x v="1"/>
    <n v="5"/>
    <n v="1"/>
    <x v="4"/>
  </r>
  <r>
    <x v="2"/>
    <x v="4"/>
    <x v="5"/>
    <x v="0"/>
    <x v="0"/>
    <n v="5"/>
    <n v="0"/>
    <x v="4"/>
  </r>
  <r>
    <x v="2"/>
    <x v="4"/>
    <x v="5"/>
    <x v="0"/>
    <x v="1"/>
    <n v="5"/>
    <n v="0"/>
    <x v="4"/>
  </r>
  <r>
    <x v="2"/>
    <x v="4"/>
    <x v="6"/>
    <x v="2"/>
    <x v="0"/>
    <n v="5"/>
    <n v="0"/>
    <x v="4"/>
  </r>
  <r>
    <x v="2"/>
    <x v="4"/>
    <x v="6"/>
    <x v="2"/>
    <x v="1"/>
    <n v="5"/>
    <n v="0"/>
    <x v="4"/>
  </r>
  <r>
    <x v="2"/>
    <x v="4"/>
    <x v="7"/>
    <x v="0"/>
    <x v="0"/>
    <n v="5"/>
    <n v="0"/>
    <x v="4"/>
  </r>
  <r>
    <x v="2"/>
    <x v="4"/>
    <x v="7"/>
    <x v="0"/>
    <x v="1"/>
    <n v="5"/>
    <n v="0"/>
    <x v="4"/>
  </r>
  <r>
    <x v="2"/>
    <x v="4"/>
    <x v="8"/>
    <x v="2"/>
    <x v="0"/>
    <n v="5"/>
    <n v="0"/>
    <x v="4"/>
  </r>
  <r>
    <x v="2"/>
    <x v="4"/>
    <x v="8"/>
    <x v="2"/>
    <x v="1"/>
    <n v="5"/>
    <n v="0"/>
    <x v="4"/>
  </r>
  <r>
    <x v="2"/>
    <x v="4"/>
    <x v="9"/>
    <x v="2"/>
    <x v="0"/>
    <n v="5"/>
    <n v="0"/>
    <x v="4"/>
  </r>
  <r>
    <x v="2"/>
    <x v="4"/>
    <x v="9"/>
    <x v="2"/>
    <x v="1"/>
    <n v="5"/>
    <n v="0"/>
    <x v="4"/>
  </r>
  <r>
    <x v="2"/>
    <x v="4"/>
    <x v="10"/>
    <x v="1"/>
    <x v="0"/>
    <n v="5"/>
    <n v="0"/>
    <x v="4"/>
  </r>
  <r>
    <x v="2"/>
    <x v="4"/>
    <x v="10"/>
    <x v="1"/>
    <x v="1"/>
    <n v="5"/>
    <n v="0"/>
    <x v="4"/>
  </r>
  <r>
    <x v="3"/>
    <x v="0"/>
    <x v="0"/>
    <x v="0"/>
    <x v="0"/>
    <n v="4"/>
    <n v="1"/>
    <x v="0"/>
  </r>
  <r>
    <x v="3"/>
    <x v="0"/>
    <x v="0"/>
    <x v="0"/>
    <x v="1"/>
    <n v="4"/>
    <n v="0"/>
    <x v="0"/>
  </r>
  <r>
    <x v="3"/>
    <x v="0"/>
    <x v="1"/>
    <x v="1"/>
    <x v="0"/>
    <n v="4"/>
    <n v="0"/>
    <x v="0"/>
  </r>
  <r>
    <x v="3"/>
    <x v="0"/>
    <x v="1"/>
    <x v="1"/>
    <x v="1"/>
    <n v="4"/>
    <n v="2"/>
    <x v="0"/>
  </r>
  <r>
    <x v="3"/>
    <x v="0"/>
    <x v="2"/>
    <x v="2"/>
    <x v="0"/>
    <n v="4"/>
    <n v="0"/>
    <x v="0"/>
  </r>
  <r>
    <x v="3"/>
    <x v="0"/>
    <x v="2"/>
    <x v="2"/>
    <x v="1"/>
    <n v="4"/>
    <n v="0"/>
    <x v="0"/>
  </r>
  <r>
    <x v="3"/>
    <x v="0"/>
    <x v="3"/>
    <x v="1"/>
    <x v="0"/>
    <n v="4"/>
    <n v="0"/>
    <x v="0"/>
  </r>
  <r>
    <x v="3"/>
    <x v="0"/>
    <x v="3"/>
    <x v="1"/>
    <x v="1"/>
    <n v="4"/>
    <n v="0"/>
    <x v="0"/>
  </r>
  <r>
    <x v="3"/>
    <x v="0"/>
    <x v="4"/>
    <x v="0"/>
    <x v="0"/>
    <n v="4"/>
    <n v="0"/>
    <x v="0"/>
  </r>
  <r>
    <x v="3"/>
    <x v="0"/>
    <x v="4"/>
    <x v="0"/>
    <x v="1"/>
    <n v="4"/>
    <n v="1"/>
    <x v="0"/>
  </r>
  <r>
    <x v="3"/>
    <x v="0"/>
    <x v="5"/>
    <x v="0"/>
    <x v="0"/>
    <n v="4"/>
    <n v="0"/>
    <x v="0"/>
  </r>
  <r>
    <x v="3"/>
    <x v="0"/>
    <x v="5"/>
    <x v="0"/>
    <x v="1"/>
    <n v="4"/>
    <n v="0"/>
    <x v="0"/>
  </r>
  <r>
    <x v="3"/>
    <x v="0"/>
    <x v="6"/>
    <x v="2"/>
    <x v="0"/>
    <n v="4"/>
    <n v="0"/>
    <x v="0"/>
  </r>
  <r>
    <x v="3"/>
    <x v="0"/>
    <x v="6"/>
    <x v="2"/>
    <x v="1"/>
    <n v="4"/>
    <n v="1"/>
    <x v="0"/>
  </r>
  <r>
    <x v="3"/>
    <x v="0"/>
    <x v="7"/>
    <x v="0"/>
    <x v="0"/>
    <n v="4"/>
    <n v="0"/>
    <x v="0"/>
  </r>
  <r>
    <x v="3"/>
    <x v="0"/>
    <x v="7"/>
    <x v="0"/>
    <x v="1"/>
    <n v="4"/>
    <n v="0"/>
    <x v="0"/>
  </r>
  <r>
    <x v="3"/>
    <x v="0"/>
    <x v="8"/>
    <x v="2"/>
    <x v="0"/>
    <n v="4"/>
    <n v="0"/>
    <x v="0"/>
  </r>
  <r>
    <x v="3"/>
    <x v="0"/>
    <x v="8"/>
    <x v="2"/>
    <x v="1"/>
    <n v="4"/>
    <n v="0"/>
    <x v="0"/>
  </r>
  <r>
    <x v="3"/>
    <x v="0"/>
    <x v="9"/>
    <x v="2"/>
    <x v="0"/>
    <n v="4"/>
    <n v="0"/>
    <x v="0"/>
  </r>
  <r>
    <x v="3"/>
    <x v="0"/>
    <x v="9"/>
    <x v="2"/>
    <x v="1"/>
    <n v="4"/>
    <n v="2"/>
    <x v="0"/>
  </r>
  <r>
    <x v="3"/>
    <x v="0"/>
    <x v="10"/>
    <x v="1"/>
    <x v="0"/>
    <n v="4"/>
    <n v="0"/>
    <x v="0"/>
  </r>
  <r>
    <x v="3"/>
    <x v="0"/>
    <x v="10"/>
    <x v="1"/>
    <x v="1"/>
    <n v="4"/>
    <n v="0"/>
    <x v="0"/>
  </r>
  <r>
    <x v="3"/>
    <x v="1"/>
    <x v="0"/>
    <x v="0"/>
    <x v="0"/>
    <n v="4"/>
    <n v="0"/>
    <x v="1"/>
  </r>
  <r>
    <x v="3"/>
    <x v="1"/>
    <x v="0"/>
    <x v="0"/>
    <x v="1"/>
    <n v="4"/>
    <n v="0"/>
    <x v="1"/>
  </r>
  <r>
    <x v="3"/>
    <x v="1"/>
    <x v="1"/>
    <x v="1"/>
    <x v="0"/>
    <n v="4"/>
    <n v="0"/>
    <x v="1"/>
  </r>
  <r>
    <x v="3"/>
    <x v="1"/>
    <x v="1"/>
    <x v="1"/>
    <x v="1"/>
    <n v="4"/>
    <n v="2"/>
    <x v="1"/>
  </r>
  <r>
    <x v="3"/>
    <x v="1"/>
    <x v="2"/>
    <x v="2"/>
    <x v="0"/>
    <n v="4"/>
    <n v="0"/>
    <x v="1"/>
  </r>
  <r>
    <x v="3"/>
    <x v="1"/>
    <x v="2"/>
    <x v="2"/>
    <x v="1"/>
    <n v="4"/>
    <n v="0"/>
    <x v="1"/>
  </r>
  <r>
    <x v="3"/>
    <x v="1"/>
    <x v="3"/>
    <x v="1"/>
    <x v="0"/>
    <n v="4"/>
    <n v="0"/>
    <x v="1"/>
  </r>
  <r>
    <x v="3"/>
    <x v="1"/>
    <x v="3"/>
    <x v="1"/>
    <x v="1"/>
    <n v="4"/>
    <n v="0"/>
    <x v="1"/>
  </r>
  <r>
    <x v="3"/>
    <x v="1"/>
    <x v="4"/>
    <x v="0"/>
    <x v="0"/>
    <n v="4"/>
    <n v="0"/>
    <x v="1"/>
  </r>
  <r>
    <x v="3"/>
    <x v="1"/>
    <x v="4"/>
    <x v="0"/>
    <x v="1"/>
    <n v="4"/>
    <n v="1"/>
    <x v="1"/>
  </r>
  <r>
    <x v="3"/>
    <x v="1"/>
    <x v="5"/>
    <x v="0"/>
    <x v="0"/>
    <n v="4"/>
    <n v="0"/>
    <x v="1"/>
  </r>
  <r>
    <x v="3"/>
    <x v="1"/>
    <x v="5"/>
    <x v="0"/>
    <x v="1"/>
    <n v="4"/>
    <n v="0"/>
    <x v="1"/>
  </r>
  <r>
    <x v="3"/>
    <x v="1"/>
    <x v="6"/>
    <x v="2"/>
    <x v="1"/>
    <n v="4"/>
    <n v="1"/>
    <x v="1"/>
  </r>
  <r>
    <x v="3"/>
    <x v="1"/>
    <x v="6"/>
    <x v="2"/>
    <x v="0"/>
    <n v="4"/>
    <n v="0"/>
    <x v="1"/>
  </r>
  <r>
    <x v="3"/>
    <x v="1"/>
    <x v="7"/>
    <x v="0"/>
    <x v="0"/>
    <n v="4"/>
    <n v="0"/>
    <x v="1"/>
  </r>
  <r>
    <x v="3"/>
    <x v="1"/>
    <x v="7"/>
    <x v="0"/>
    <x v="1"/>
    <n v="4"/>
    <n v="0"/>
    <x v="1"/>
  </r>
  <r>
    <x v="3"/>
    <x v="1"/>
    <x v="8"/>
    <x v="2"/>
    <x v="0"/>
    <n v="4"/>
    <n v="0"/>
    <x v="1"/>
  </r>
  <r>
    <x v="3"/>
    <x v="1"/>
    <x v="8"/>
    <x v="2"/>
    <x v="1"/>
    <n v="4"/>
    <n v="0"/>
    <x v="1"/>
  </r>
  <r>
    <x v="3"/>
    <x v="1"/>
    <x v="9"/>
    <x v="2"/>
    <x v="0"/>
    <n v="4"/>
    <n v="0"/>
    <x v="1"/>
  </r>
  <r>
    <x v="3"/>
    <x v="1"/>
    <x v="9"/>
    <x v="2"/>
    <x v="1"/>
    <n v="4"/>
    <n v="2"/>
    <x v="1"/>
  </r>
  <r>
    <x v="3"/>
    <x v="1"/>
    <x v="10"/>
    <x v="1"/>
    <x v="0"/>
    <n v="4"/>
    <n v="1"/>
    <x v="1"/>
  </r>
  <r>
    <x v="3"/>
    <x v="1"/>
    <x v="10"/>
    <x v="1"/>
    <x v="1"/>
    <n v="4"/>
    <n v="0"/>
    <x v="1"/>
  </r>
  <r>
    <x v="3"/>
    <x v="2"/>
    <x v="0"/>
    <x v="0"/>
    <x v="0"/>
    <n v="4"/>
    <n v="0"/>
    <x v="2"/>
  </r>
  <r>
    <x v="3"/>
    <x v="2"/>
    <x v="0"/>
    <x v="0"/>
    <x v="1"/>
    <n v="4"/>
    <n v="0"/>
    <x v="2"/>
  </r>
  <r>
    <x v="3"/>
    <x v="2"/>
    <x v="1"/>
    <x v="1"/>
    <x v="1"/>
    <n v="4"/>
    <n v="2"/>
    <x v="2"/>
  </r>
  <r>
    <x v="3"/>
    <x v="2"/>
    <x v="1"/>
    <x v="1"/>
    <x v="0"/>
    <n v="4"/>
    <n v="0"/>
    <x v="2"/>
  </r>
  <r>
    <x v="3"/>
    <x v="2"/>
    <x v="2"/>
    <x v="2"/>
    <x v="1"/>
    <n v="4"/>
    <n v="0"/>
    <x v="2"/>
  </r>
  <r>
    <x v="3"/>
    <x v="2"/>
    <x v="2"/>
    <x v="2"/>
    <x v="0"/>
    <n v="4"/>
    <n v="0"/>
    <x v="2"/>
  </r>
  <r>
    <x v="3"/>
    <x v="2"/>
    <x v="3"/>
    <x v="1"/>
    <x v="0"/>
    <n v="4"/>
    <n v="0"/>
    <x v="2"/>
  </r>
  <r>
    <x v="3"/>
    <x v="2"/>
    <x v="3"/>
    <x v="1"/>
    <x v="1"/>
    <n v="4"/>
    <n v="0"/>
    <x v="2"/>
  </r>
  <r>
    <x v="3"/>
    <x v="2"/>
    <x v="4"/>
    <x v="0"/>
    <x v="0"/>
    <n v="4"/>
    <n v="0"/>
    <x v="2"/>
  </r>
  <r>
    <x v="3"/>
    <x v="2"/>
    <x v="4"/>
    <x v="0"/>
    <x v="1"/>
    <n v="4"/>
    <n v="1"/>
    <x v="2"/>
  </r>
  <r>
    <x v="3"/>
    <x v="2"/>
    <x v="5"/>
    <x v="0"/>
    <x v="0"/>
    <n v="4"/>
    <n v="0"/>
    <x v="2"/>
  </r>
  <r>
    <x v="3"/>
    <x v="2"/>
    <x v="5"/>
    <x v="0"/>
    <x v="1"/>
    <n v="4"/>
    <n v="0"/>
    <x v="2"/>
  </r>
  <r>
    <x v="3"/>
    <x v="2"/>
    <x v="6"/>
    <x v="2"/>
    <x v="1"/>
    <n v="4"/>
    <n v="1"/>
    <x v="2"/>
  </r>
  <r>
    <x v="3"/>
    <x v="2"/>
    <x v="6"/>
    <x v="2"/>
    <x v="0"/>
    <n v="4"/>
    <n v="0"/>
    <x v="2"/>
  </r>
  <r>
    <x v="3"/>
    <x v="2"/>
    <x v="7"/>
    <x v="0"/>
    <x v="0"/>
    <n v="4"/>
    <n v="0"/>
    <x v="2"/>
  </r>
  <r>
    <x v="3"/>
    <x v="2"/>
    <x v="7"/>
    <x v="0"/>
    <x v="1"/>
    <n v="4"/>
    <n v="0"/>
    <x v="2"/>
  </r>
  <r>
    <x v="3"/>
    <x v="2"/>
    <x v="8"/>
    <x v="2"/>
    <x v="0"/>
    <n v="4"/>
    <n v="0"/>
    <x v="2"/>
  </r>
  <r>
    <x v="3"/>
    <x v="2"/>
    <x v="8"/>
    <x v="2"/>
    <x v="1"/>
    <n v="4"/>
    <n v="0"/>
    <x v="2"/>
  </r>
  <r>
    <x v="3"/>
    <x v="2"/>
    <x v="9"/>
    <x v="2"/>
    <x v="0"/>
    <n v="4"/>
    <n v="0"/>
    <x v="2"/>
  </r>
  <r>
    <x v="3"/>
    <x v="2"/>
    <x v="9"/>
    <x v="2"/>
    <x v="1"/>
    <n v="4"/>
    <n v="2"/>
    <x v="2"/>
  </r>
  <r>
    <x v="3"/>
    <x v="2"/>
    <x v="10"/>
    <x v="1"/>
    <x v="0"/>
    <n v="4"/>
    <n v="1"/>
    <x v="2"/>
  </r>
  <r>
    <x v="3"/>
    <x v="2"/>
    <x v="10"/>
    <x v="1"/>
    <x v="1"/>
    <n v="4"/>
    <n v="0"/>
    <x v="2"/>
  </r>
  <r>
    <x v="3"/>
    <x v="3"/>
    <x v="0"/>
    <x v="0"/>
    <x v="0"/>
    <n v="4"/>
    <n v="0"/>
    <x v="3"/>
  </r>
  <r>
    <x v="3"/>
    <x v="3"/>
    <x v="0"/>
    <x v="0"/>
    <x v="1"/>
    <n v="4"/>
    <n v="0"/>
    <x v="3"/>
  </r>
  <r>
    <x v="3"/>
    <x v="3"/>
    <x v="1"/>
    <x v="1"/>
    <x v="1"/>
    <n v="4"/>
    <n v="2"/>
    <x v="3"/>
  </r>
  <r>
    <x v="3"/>
    <x v="3"/>
    <x v="1"/>
    <x v="1"/>
    <x v="0"/>
    <n v="4"/>
    <n v="0"/>
    <x v="3"/>
  </r>
  <r>
    <x v="3"/>
    <x v="3"/>
    <x v="2"/>
    <x v="2"/>
    <x v="0"/>
    <n v="4"/>
    <n v="0"/>
    <x v="3"/>
  </r>
  <r>
    <x v="3"/>
    <x v="3"/>
    <x v="2"/>
    <x v="2"/>
    <x v="1"/>
    <n v="4"/>
    <n v="0"/>
    <x v="3"/>
  </r>
  <r>
    <x v="3"/>
    <x v="3"/>
    <x v="3"/>
    <x v="1"/>
    <x v="0"/>
    <n v="4"/>
    <n v="0"/>
    <x v="3"/>
  </r>
  <r>
    <x v="3"/>
    <x v="3"/>
    <x v="3"/>
    <x v="1"/>
    <x v="1"/>
    <n v="4"/>
    <n v="0"/>
    <x v="3"/>
  </r>
  <r>
    <x v="3"/>
    <x v="3"/>
    <x v="4"/>
    <x v="0"/>
    <x v="0"/>
    <n v="4"/>
    <n v="0"/>
    <x v="3"/>
  </r>
  <r>
    <x v="3"/>
    <x v="3"/>
    <x v="4"/>
    <x v="0"/>
    <x v="1"/>
    <n v="4"/>
    <n v="1"/>
    <x v="3"/>
  </r>
  <r>
    <x v="3"/>
    <x v="3"/>
    <x v="5"/>
    <x v="0"/>
    <x v="0"/>
    <n v="4"/>
    <n v="0"/>
    <x v="3"/>
  </r>
  <r>
    <x v="3"/>
    <x v="3"/>
    <x v="5"/>
    <x v="0"/>
    <x v="1"/>
    <n v="4"/>
    <n v="0"/>
    <x v="3"/>
  </r>
  <r>
    <x v="3"/>
    <x v="3"/>
    <x v="6"/>
    <x v="2"/>
    <x v="0"/>
    <n v="4"/>
    <n v="0"/>
    <x v="3"/>
  </r>
  <r>
    <x v="3"/>
    <x v="3"/>
    <x v="6"/>
    <x v="2"/>
    <x v="1"/>
    <n v="4"/>
    <n v="1"/>
    <x v="3"/>
  </r>
  <r>
    <x v="3"/>
    <x v="3"/>
    <x v="7"/>
    <x v="0"/>
    <x v="0"/>
    <n v="4"/>
    <n v="1"/>
    <x v="3"/>
  </r>
  <r>
    <x v="3"/>
    <x v="3"/>
    <x v="7"/>
    <x v="0"/>
    <x v="1"/>
    <n v="4"/>
    <n v="0"/>
    <x v="3"/>
  </r>
  <r>
    <x v="3"/>
    <x v="3"/>
    <x v="8"/>
    <x v="2"/>
    <x v="0"/>
    <n v="4"/>
    <n v="0"/>
    <x v="3"/>
  </r>
  <r>
    <x v="3"/>
    <x v="3"/>
    <x v="8"/>
    <x v="2"/>
    <x v="1"/>
    <n v="4"/>
    <n v="0"/>
    <x v="3"/>
  </r>
  <r>
    <x v="3"/>
    <x v="3"/>
    <x v="9"/>
    <x v="2"/>
    <x v="0"/>
    <n v="4"/>
    <n v="0"/>
    <x v="3"/>
  </r>
  <r>
    <x v="3"/>
    <x v="3"/>
    <x v="9"/>
    <x v="2"/>
    <x v="1"/>
    <n v="4"/>
    <n v="2"/>
    <x v="3"/>
  </r>
  <r>
    <x v="3"/>
    <x v="3"/>
    <x v="10"/>
    <x v="1"/>
    <x v="1"/>
    <n v="4"/>
    <n v="0"/>
    <x v="3"/>
  </r>
  <r>
    <x v="3"/>
    <x v="3"/>
    <x v="10"/>
    <x v="1"/>
    <x v="0"/>
    <n v="4"/>
    <n v="1"/>
    <x v="3"/>
  </r>
  <r>
    <x v="3"/>
    <x v="4"/>
    <x v="0"/>
    <x v="0"/>
    <x v="0"/>
    <n v="4"/>
    <n v="1"/>
    <x v="4"/>
  </r>
  <r>
    <x v="3"/>
    <x v="4"/>
    <x v="0"/>
    <x v="0"/>
    <x v="1"/>
    <n v="4"/>
    <n v="0"/>
    <x v="4"/>
  </r>
  <r>
    <x v="3"/>
    <x v="4"/>
    <x v="1"/>
    <x v="1"/>
    <x v="0"/>
    <n v="4"/>
    <n v="0"/>
    <x v="4"/>
  </r>
  <r>
    <x v="3"/>
    <x v="4"/>
    <x v="1"/>
    <x v="1"/>
    <x v="1"/>
    <n v="4"/>
    <n v="2"/>
    <x v="4"/>
  </r>
  <r>
    <x v="3"/>
    <x v="4"/>
    <x v="2"/>
    <x v="2"/>
    <x v="0"/>
    <n v="4"/>
    <n v="0"/>
    <x v="4"/>
  </r>
  <r>
    <x v="3"/>
    <x v="4"/>
    <x v="2"/>
    <x v="2"/>
    <x v="1"/>
    <n v="4"/>
    <n v="0"/>
    <x v="4"/>
  </r>
  <r>
    <x v="3"/>
    <x v="4"/>
    <x v="3"/>
    <x v="1"/>
    <x v="0"/>
    <n v="4"/>
    <n v="0"/>
    <x v="4"/>
  </r>
  <r>
    <x v="3"/>
    <x v="4"/>
    <x v="3"/>
    <x v="1"/>
    <x v="1"/>
    <n v="4"/>
    <n v="0"/>
    <x v="4"/>
  </r>
  <r>
    <x v="3"/>
    <x v="4"/>
    <x v="4"/>
    <x v="0"/>
    <x v="0"/>
    <n v="4"/>
    <n v="0"/>
    <x v="4"/>
  </r>
  <r>
    <x v="3"/>
    <x v="4"/>
    <x v="4"/>
    <x v="0"/>
    <x v="1"/>
    <n v="4"/>
    <n v="1"/>
    <x v="4"/>
  </r>
  <r>
    <x v="3"/>
    <x v="4"/>
    <x v="5"/>
    <x v="0"/>
    <x v="0"/>
    <n v="4"/>
    <n v="0"/>
    <x v="4"/>
  </r>
  <r>
    <x v="3"/>
    <x v="4"/>
    <x v="5"/>
    <x v="0"/>
    <x v="1"/>
    <n v="4"/>
    <n v="0"/>
    <x v="4"/>
  </r>
  <r>
    <x v="3"/>
    <x v="4"/>
    <x v="6"/>
    <x v="2"/>
    <x v="0"/>
    <n v="4"/>
    <n v="0"/>
    <x v="4"/>
  </r>
  <r>
    <x v="3"/>
    <x v="4"/>
    <x v="6"/>
    <x v="2"/>
    <x v="1"/>
    <n v="4"/>
    <n v="1"/>
    <x v="4"/>
  </r>
  <r>
    <x v="3"/>
    <x v="4"/>
    <x v="7"/>
    <x v="0"/>
    <x v="0"/>
    <n v="4"/>
    <n v="2"/>
    <x v="4"/>
  </r>
  <r>
    <x v="3"/>
    <x v="4"/>
    <x v="7"/>
    <x v="0"/>
    <x v="1"/>
    <n v="4"/>
    <n v="0"/>
    <x v="4"/>
  </r>
  <r>
    <x v="3"/>
    <x v="4"/>
    <x v="8"/>
    <x v="2"/>
    <x v="0"/>
    <n v="4"/>
    <n v="0"/>
    <x v="4"/>
  </r>
  <r>
    <x v="3"/>
    <x v="4"/>
    <x v="8"/>
    <x v="2"/>
    <x v="1"/>
    <n v="4"/>
    <n v="0"/>
    <x v="4"/>
  </r>
  <r>
    <x v="3"/>
    <x v="4"/>
    <x v="9"/>
    <x v="2"/>
    <x v="0"/>
    <n v="4"/>
    <n v="0"/>
    <x v="4"/>
  </r>
  <r>
    <x v="3"/>
    <x v="4"/>
    <x v="9"/>
    <x v="2"/>
    <x v="1"/>
    <n v="4"/>
    <n v="2"/>
    <x v="4"/>
  </r>
  <r>
    <x v="3"/>
    <x v="4"/>
    <x v="10"/>
    <x v="1"/>
    <x v="0"/>
    <n v="4"/>
    <n v="1"/>
    <x v="4"/>
  </r>
  <r>
    <x v="3"/>
    <x v="4"/>
    <x v="10"/>
    <x v="1"/>
    <x v="1"/>
    <n v="4"/>
    <n v="0"/>
    <x v="4"/>
  </r>
  <r>
    <x v="4"/>
    <x v="0"/>
    <x v="0"/>
    <x v="0"/>
    <x v="0"/>
    <n v="4"/>
    <n v="1"/>
    <x v="0"/>
  </r>
  <r>
    <x v="4"/>
    <x v="0"/>
    <x v="0"/>
    <x v="0"/>
    <x v="1"/>
    <n v="4"/>
    <n v="1"/>
    <x v="0"/>
  </r>
  <r>
    <x v="4"/>
    <x v="0"/>
    <x v="1"/>
    <x v="1"/>
    <x v="1"/>
    <n v="4"/>
    <n v="0"/>
    <x v="0"/>
  </r>
  <r>
    <x v="4"/>
    <x v="0"/>
    <x v="1"/>
    <x v="1"/>
    <x v="0"/>
    <n v="4"/>
    <n v="1"/>
    <x v="0"/>
  </r>
  <r>
    <x v="4"/>
    <x v="0"/>
    <x v="2"/>
    <x v="2"/>
    <x v="0"/>
    <n v="4"/>
    <n v="0"/>
    <x v="0"/>
  </r>
  <r>
    <x v="4"/>
    <x v="0"/>
    <x v="2"/>
    <x v="2"/>
    <x v="1"/>
    <n v="4"/>
    <n v="1"/>
    <x v="0"/>
  </r>
  <r>
    <x v="4"/>
    <x v="0"/>
    <x v="3"/>
    <x v="1"/>
    <x v="0"/>
    <n v="4"/>
    <n v="1"/>
    <x v="0"/>
  </r>
  <r>
    <x v="4"/>
    <x v="0"/>
    <x v="3"/>
    <x v="1"/>
    <x v="1"/>
    <n v="4"/>
    <n v="0"/>
    <x v="0"/>
  </r>
  <r>
    <x v="4"/>
    <x v="0"/>
    <x v="4"/>
    <x v="0"/>
    <x v="0"/>
    <n v="4"/>
    <n v="0"/>
    <x v="0"/>
  </r>
  <r>
    <x v="4"/>
    <x v="0"/>
    <x v="4"/>
    <x v="0"/>
    <x v="1"/>
    <n v="4"/>
    <n v="0"/>
    <x v="0"/>
  </r>
  <r>
    <x v="4"/>
    <x v="0"/>
    <x v="5"/>
    <x v="0"/>
    <x v="0"/>
    <n v="4"/>
    <n v="1"/>
    <x v="0"/>
  </r>
  <r>
    <x v="4"/>
    <x v="0"/>
    <x v="5"/>
    <x v="0"/>
    <x v="1"/>
    <n v="4"/>
    <n v="0"/>
    <x v="0"/>
  </r>
  <r>
    <x v="4"/>
    <x v="0"/>
    <x v="6"/>
    <x v="2"/>
    <x v="0"/>
    <n v="4"/>
    <n v="1"/>
    <x v="0"/>
  </r>
  <r>
    <x v="4"/>
    <x v="0"/>
    <x v="6"/>
    <x v="2"/>
    <x v="1"/>
    <n v="4"/>
    <n v="0"/>
    <x v="0"/>
  </r>
  <r>
    <x v="4"/>
    <x v="0"/>
    <x v="7"/>
    <x v="0"/>
    <x v="0"/>
    <n v="4"/>
    <n v="2"/>
    <x v="0"/>
  </r>
  <r>
    <x v="4"/>
    <x v="0"/>
    <x v="7"/>
    <x v="0"/>
    <x v="1"/>
    <n v="4"/>
    <n v="1"/>
    <x v="0"/>
  </r>
  <r>
    <x v="4"/>
    <x v="0"/>
    <x v="8"/>
    <x v="2"/>
    <x v="0"/>
    <n v="4"/>
    <n v="0"/>
    <x v="0"/>
  </r>
  <r>
    <x v="4"/>
    <x v="0"/>
    <x v="8"/>
    <x v="2"/>
    <x v="1"/>
    <n v="4"/>
    <n v="2"/>
    <x v="0"/>
  </r>
  <r>
    <x v="4"/>
    <x v="0"/>
    <x v="9"/>
    <x v="2"/>
    <x v="1"/>
    <n v="4"/>
    <n v="0"/>
    <x v="0"/>
  </r>
  <r>
    <x v="4"/>
    <x v="0"/>
    <x v="9"/>
    <x v="2"/>
    <x v="0"/>
    <n v="4"/>
    <n v="1"/>
    <x v="0"/>
  </r>
  <r>
    <x v="4"/>
    <x v="0"/>
    <x v="10"/>
    <x v="1"/>
    <x v="0"/>
    <n v="4"/>
    <n v="1"/>
    <x v="0"/>
  </r>
  <r>
    <x v="4"/>
    <x v="0"/>
    <x v="10"/>
    <x v="1"/>
    <x v="1"/>
    <n v="4"/>
    <n v="0"/>
    <x v="0"/>
  </r>
  <r>
    <x v="4"/>
    <x v="1"/>
    <x v="0"/>
    <x v="0"/>
    <x v="0"/>
    <n v="4"/>
    <n v="1"/>
    <x v="1"/>
  </r>
  <r>
    <x v="4"/>
    <x v="1"/>
    <x v="0"/>
    <x v="0"/>
    <x v="1"/>
    <n v="4"/>
    <n v="1"/>
    <x v="1"/>
  </r>
  <r>
    <x v="4"/>
    <x v="1"/>
    <x v="1"/>
    <x v="1"/>
    <x v="0"/>
    <n v="4"/>
    <n v="1"/>
    <x v="1"/>
  </r>
  <r>
    <x v="4"/>
    <x v="1"/>
    <x v="1"/>
    <x v="1"/>
    <x v="1"/>
    <n v="4"/>
    <n v="0"/>
    <x v="1"/>
  </r>
  <r>
    <x v="4"/>
    <x v="1"/>
    <x v="2"/>
    <x v="2"/>
    <x v="0"/>
    <n v="4"/>
    <n v="1"/>
    <x v="1"/>
  </r>
  <r>
    <x v="4"/>
    <x v="1"/>
    <x v="2"/>
    <x v="2"/>
    <x v="1"/>
    <n v="4"/>
    <n v="1"/>
    <x v="1"/>
  </r>
  <r>
    <x v="4"/>
    <x v="1"/>
    <x v="3"/>
    <x v="1"/>
    <x v="0"/>
    <n v="4"/>
    <n v="1"/>
    <x v="1"/>
  </r>
  <r>
    <x v="4"/>
    <x v="1"/>
    <x v="3"/>
    <x v="1"/>
    <x v="1"/>
    <n v="4"/>
    <n v="0"/>
    <x v="1"/>
  </r>
  <r>
    <x v="4"/>
    <x v="1"/>
    <x v="4"/>
    <x v="0"/>
    <x v="0"/>
    <n v="4"/>
    <n v="0"/>
    <x v="1"/>
  </r>
  <r>
    <x v="4"/>
    <x v="1"/>
    <x v="4"/>
    <x v="0"/>
    <x v="1"/>
    <n v="4"/>
    <n v="0"/>
    <x v="1"/>
  </r>
  <r>
    <x v="4"/>
    <x v="1"/>
    <x v="5"/>
    <x v="0"/>
    <x v="0"/>
    <n v="4"/>
    <n v="1"/>
    <x v="1"/>
  </r>
  <r>
    <x v="4"/>
    <x v="1"/>
    <x v="5"/>
    <x v="0"/>
    <x v="1"/>
    <n v="4"/>
    <n v="0"/>
    <x v="1"/>
  </r>
  <r>
    <x v="4"/>
    <x v="1"/>
    <x v="6"/>
    <x v="2"/>
    <x v="0"/>
    <n v="4"/>
    <n v="1"/>
    <x v="1"/>
  </r>
  <r>
    <x v="4"/>
    <x v="1"/>
    <x v="6"/>
    <x v="2"/>
    <x v="1"/>
    <n v="4"/>
    <n v="0"/>
    <x v="1"/>
  </r>
  <r>
    <x v="4"/>
    <x v="1"/>
    <x v="7"/>
    <x v="0"/>
    <x v="0"/>
    <n v="4"/>
    <n v="1"/>
    <x v="1"/>
  </r>
  <r>
    <x v="4"/>
    <x v="1"/>
    <x v="7"/>
    <x v="0"/>
    <x v="1"/>
    <n v="4"/>
    <n v="1"/>
    <x v="1"/>
  </r>
  <r>
    <x v="4"/>
    <x v="1"/>
    <x v="8"/>
    <x v="2"/>
    <x v="0"/>
    <n v="4"/>
    <n v="0"/>
    <x v="1"/>
  </r>
  <r>
    <x v="4"/>
    <x v="1"/>
    <x v="8"/>
    <x v="2"/>
    <x v="1"/>
    <n v="4"/>
    <n v="1"/>
    <x v="1"/>
  </r>
  <r>
    <x v="4"/>
    <x v="1"/>
    <x v="9"/>
    <x v="2"/>
    <x v="0"/>
    <n v="4"/>
    <n v="2"/>
    <x v="1"/>
  </r>
  <r>
    <x v="4"/>
    <x v="1"/>
    <x v="9"/>
    <x v="2"/>
    <x v="1"/>
    <n v="4"/>
    <n v="0"/>
    <x v="1"/>
  </r>
  <r>
    <x v="4"/>
    <x v="1"/>
    <x v="10"/>
    <x v="1"/>
    <x v="0"/>
    <n v="4"/>
    <n v="0"/>
    <x v="1"/>
  </r>
  <r>
    <x v="4"/>
    <x v="1"/>
    <x v="10"/>
    <x v="1"/>
    <x v="1"/>
    <n v="4"/>
    <n v="0"/>
    <x v="1"/>
  </r>
  <r>
    <x v="4"/>
    <x v="2"/>
    <x v="0"/>
    <x v="0"/>
    <x v="0"/>
    <n v="5"/>
    <n v="2"/>
    <x v="2"/>
  </r>
  <r>
    <x v="4"/>
    <x v="2"/>
    <x v="0"/>
    <x v="0"/>
    <x v="1"/>
    <n v="5"/>
    <n v="1"/>
    <x v="2"/>
  </r>
  <r>
    <x v="4"/>
    <x v="2"/>
    <x v="1"/>
    <x v="1"/>
    <x v="0"/>
    <n v="5"/>
    <n v="1"/>
    <x v="2"/>
  </r>
  <r>
    <x v="4"/>
    <x v="2"/>
    <x v="1"/>
    <x v="1"/>
    <x v="1"/>
    <n v="5"/>
    <n v="0"/>
    <x v="2"/>
  </r>
  <r>
    <x v="4"/>
    <x v="2"/>
    <x v="2"/>
    <x v="2"/>
    <x v="0"/>
    <n v="5"/>
    <n v="1"/>
    <x v="2"/>
  </r>
  <r>
    <x v="4"/>
    <x v="2"/>
    <x v="2"/>
    <x v="2"/>
    <x v="1"/>
    <n v="5"/>
    <n v="1"/>
    <x v="2"/>
  </r>
  <r>
    <x v="4"/>
    <x v="2"/>
    <x v="3"/>
    <x v="1"/>
    <x v="0"/>
    <n v="5"/>
    <n v="1"/>
    <x v="2"/>
  </r>
  <r>
    <x v="4"/>
    <x v="2"/>
    <x v="3"/>
    <x v="1"/>
    <x v="1"/>
    <n v="5"/>
    <n v="0"/>
    <x v="2"/>
  </r>
  <r>
    <x v="4"/>
    <x v="2"/>
    <x v="4"/>
    <x v="0"/>
    <x v="0"/>
    <n v="5"/>
    <n v="0"/>
    <x v="2"/>
  </r>
  <r>
    <x v="4"/>
    <x v="2"/>
    <x v="4"/>
    <x v="0"/>
    <x v="1"/>
    <n v="5"/>
    <n v="0"/>
    <x v="2"/>
  </r>
  <r>
    <x v="4"/>
    <x v="2"/>
    <x v="5"/>
    <x v="0"/>
    <x v="0"/>
    <n v="5"/>
    <n v="1"/>
    <x v="2"/>
  </r>
  <r>
    <x v="4"/>
    <x v="2"/>
    <x v="5"/>
    <x v="0"/>
    <x v="1"/>
    <n v="5"/>
    <n v="0"/>
    <x v="2"/>
  </r>
  <r>
    <x v="4"/>
    <x v="2"/>
    <x v="6"/>
    <x v="2"/>
    <x v="1"/>
    <n v="5"/>
    <n v="0"/>
    <x v="2"/>
  </r>
  <r>
    <x v="4"/>
    <x v="2"/>
    <x v="6"/>
    <x v="2"/>
    <x v="0"/>
    <n v="5"/>
    <n v="2"/>
    <x v="2"/>
  </r>
  <r>
    <x v="4"/>
    <x v="2"/>
    <x v="7"/>
    <x v="0"/>
    <x v="0"/>
    <n v="5"/>
    <n v="1"/>
    <x v="2"/>
  </r>
  <r>
    <x v="4"/>
    <x v="2"/>
    <x v="7"/>
    <x v="0"/>
    <x v="1"/>
    <n v="5"/>
    <n v="1"/>
    <x v="2"/>
  </r>
  <r>
    <x v="4"/>
    <x v="2"/>
    <x v="8"/>
    <x v="2"/>
    <x v="0"/>
    <n v="5"/>
    <n v="0"/>
    <x v="2"/>
  </r>
  <r>
    <x v="4"/>
    <x v="2"/>
    <x v="8"/>
    <x v="2"/>
    <x v="1"/>
    <n v="5"/>
    <n v="1"/>
    <x v="2"/>
  </r>
  <r>
    <x v="4"/>
    <x v="2"/>
    <x v="9"/>
    <x v="2"/>
    <x v="0"/>
    <n v="5"/>
    <n v="2"/>
    <x v="2"/>
  </r>
  <r>
    <x v="4"/>
    <x v="2"/>
    <x v="9"/>
    <x v="2"/>
    <x v="1"/>
    <n v="5"/>
    <n v="0"/>
    <x v="2"/>
  </r>
  <r>
    <x v="4"/>
    <x v="2"/>
    <x v="10"/>
    <x v="1"/>
    <x v="0"/>
    <n v="5"/>
    <n v="0"/>
    <x v="2"/>
  </r>
  <r>
    <x v="4"/>
    <x v="2"/>
    <x v="10"/>
    <x v="1"/>
    <x v="1"/>
    <n v="5"/>
    <n v="0"/>
    <x v="2"/>
  </r>
  <r>
    <x v="4"/>
    <x v="3"/>
    <x v="0"/>
    <x v="0"/>
    <x v="0"/>
    <n v="4"/>
    <n v="1"/>
    <x v="3"/>
  </r>
  <r>
    <x v="4"/>
    <x v="3"/>
    <x v="0"/>
    <x v="0"/>
    <x v="1"/>
    <n v="4"/>
    <n v="0"/>
    <x v="3"/>
  </r>
  <r>
    <x v="4"/>
    <x v="3"/>
    <x v="1"/>
    <x v="1"/>
    <x v="1"/>
    <n v="4"/>
    <n v="0"/>
    <x v="3"/>
  </r>
  <r>
    <x v="4"/>
    <x v="3"/>
    <x v="1"/>
    <x v="1"/>
    <x v="0"/>
    <n v="4"/>
    <n v="0"/>
    <x v="3"/>
  </r>
  <r>
    <x v="4"/>
    <x v="3"/>
    <x v="2"/>
    <x v="2"/>
    <x v="1"/>
    <n v="4"/>
    <n v="0"/>
    <x v="3"/>
  </r>
  <r>
    <x v="4"/>
    <x v="3"/>
    <x v="2"/>
    <x v="2"/>
    <x v="0"/>
    <n v="4"/>
    <n v="1"/>
    <x v="3"/>
  </r>
  <r>
    <x v="4"/>
    <x v="3"/>
    <x v="3"/>
    <x v="1"/>
    <x v="0"/>
    <n v="4"/>
    <n v="0"/>
    <x v="3"/>
  </r>
  <r>
    <x v="4"/>
    <x v="3"/>
    <x v="3"/>
    <x v="1"/>
    <x v="1"/>
    <n v="4"/>
    <n v="1"/>
    <x v="3"/>
  </r>
  <r>
    <x v="4"/>
    <x v="3"/>
    <x v="4"/>
    <x v="0"/>
    <x v="0"/>
    <n v="4"/>
    <n v="0"/>
    <x v="3"/>
  </r>
  <r>
    <x v="4"/>
    <x v="3"/>
    <x v="4"/>
    <x v="0"/>
    <x v="1"/>
    <n v="4"/>
    <n v="0"/>
    <x v="3"/>
  </r>
  <r>
    <x v="4"/>
    <x v="3"/>
    <x v="5"/>
    <x v="0"/>
    <x v="0"/>
    <n v="4"/>
    <n v="1"/>
    <x v="3"/>
  </r>
  <r>
    <x v="4"/>
    <x v="3"/>
    <x v="5"/>
    <x v="0"/>
    <x v="1"/>
    <n v="4"/>
    <n v="0"/>
    <x v="3"/>
  </r>
  <r>
    <x v="4"/>
    <x v="3"/>
    <x v="6"/>
    <x v="2"/>
    <x v="1"/>
    <n v="4"/>
    <n v="0"/>
    <x v="3"/>
  </r>
  <r>
    <x v="4"/>
    <x v="3"/>
    <x v="6"/>
    <x v="2"/>
    <x v="0"/>
    <n v="4"/>
    <n v="1"/>
    <x v="3"/>
  </r>
  <r>
    <x v="4"/>
    <x v="3"/>
    <x v="7"/>
    <x v="0"/>
    <x v="0"/>
    <n v="4"/>
    <n v="1"/>
    <x v="3"/>
  </r>
  <r>
    <x v="4"/>
    <x v="3"/>
    <x v="7"/>
    <x v="0"/>
    <x v="1"/>
    <n v="4"/>
    <n v="0"/>
    <x v="3"/>
  </r>
  <r>
    <x v="4"/>
    <x v="3"/>
    <x v="8"/>
    <x v="2"/>
    <x v="0"/>
    <n v="4"/>
    <n v="0"/>
    <x v="3"/>
  </r>
  <r>
    <x v="4"/>
    <x v="3"/>
    <x v="8"/>
    <x v="2"/>
    <x v="1"/>
    <n v="4"/>
    <n v="1"/>
    <x v="3"/>
  </r>
  <r>
    <x v="4"/>
    <x v="3"/>
    <x v="9"/>
    <x v="2"/>
    <x v="0"/>
    <n v="4"/>
    <n v="0"/>
    <x v="3"/>
  </r>
  <r>
    <x v="4"/>
    <x v="3"/>
    <x v="9"/>
    <x v="2"/>
    <x v="1"/>
    <n v="4"/>
    <n v="0"/>
    <x v="3"/>
  </r>
  <r>
    <x v="4"/>
    <x v="3"/>
    <x v="10"/>
    <x v="1"/>
    <x v="0"/>
    <n v="4"/>
    <n v="0"/>
    <x v="3"/>
  </r>
  <r>
    <x v="4"/>
    <x v="3"/>
    <x v="10"/>
    <x v="1"/>
    <x v="1"/>
    <n v="4"/>
    <n v="0"/>
    <x v="3"/>
  </r>
  <r>
    <x v="4"/>
    <x v="4"/>
    <x v="0"/>
    <x v="0"/>
    <x v="0"/>
    <n v="4"/>
    <n v="0"/>
    <x v="4"/>
  </r>
  <r>
    <x v="4"/>
    <x v="4"/>
    <x v="0"/>
    <x v="0"/>
    <x v="1"/>
    <n v="4"/>
    <n v="0"/>
    <x v="4"/>
  </r>
  <r>
    <x v="4"/>
    <x v="4"/>
    <x v="1"/>
    <x v="1"/>
    <x v="1"/>
    <n v="4"/>
    <n v="0"/>
    <x v="4"/>
  </r>
  <r>
    <x v="4"/>
    <x v="4"/>
    <x v="1"/>
    <x v="1"/>
    <x v="0"/>
    <n v="4"/>
    <n v="0"/>
    <x v="4"/>
  </r>
  <r>
    <x v="4"/>
    <x v="4"/>
    <x v="2"/>
    <x v="2"/>
    <x v="0"/>
    <n v="4"/>
    <n v="0"/>
    <x v="4"/>
  </r>
  <r>
    <x v="4"/>
    <x v="4"/>
    <x v="2"/>
    <x v="2"/>
    <x v="1"/>
    <n v="4"/>
    <n v="0"/>
    <x v="4"/>
  </r>
  <r>
    <x v="4"/>
    <x v="4"/>
    <x v="3"/>
    <x v="1"/>
    <x v="0"/>
    <n v="4"/>
    <n v="0"/>
    <x v="4"/>
  </r>
  <r>
    <x v="4"/>
    <x v="4"/>
    <x v="3"/>
    <x v="1"/>
    <x v="1"/>
    <n v="4"/>
    <n v="1"/>
    <x v="4"/>
  </r>
  <r>
    <x v="4"/>
    <x v="4"/>
    <x v="4"/>
    <x v="0"/>
    <x v="0"/>
    <n v="4"/>
    <n v="0"/>
    <x v="4"/>
  </r>
  <r>
    <x v="4"/>
    <x v="4"/>
    <x v="4"/>
    <x v="0"/>
    <x v="1"/>
    <n v="4"/>
    <n v="0"/>
    <x v="4"/>
  </r>
  <r>
    <x v="4"/>
    <x v="4"/>
    <x v="5"/>
    <x v="0"/>
    <x v="0"/>
    <n v="4"/>
    <n v="0"/>
    <x v="4"/>
  </r>
  <r>
    <x v="4"/>
    <x v="4"/>
    <x v="5"/>
    <x v="0"/>
    <x v="1"/>
    <n v="4"/>
    <n v="0"/>
    <x v="4"/>
  </r>
  <r>
    <x v="4"/>
    <x v="4"/>
    <x v="6"/>
    <x v="2"/>
    <x v="0"/>
    <n v="4"/>
    <n v="1"/>
    <x v="4"/>
  </r>
  <r>
    <x v="4"/>
    <x v="4"/>
    <x v="6"/>
    <x v="2"/>
    <x v="1"/>
    <n v="4"/>
    <n v="0"/>
    <x v="4"/>
  </r>
  <r>
    <x v="4"/>
    <x v="4"/>
    <x v="7"/>
    <x v="0"/>
    <x v="0"/>
    <n v="4"/>
    <n v="2"/>
    <x v="4"/>
  </r>
  <r>
    <x v="4"/>
    <x v="4"/>
    <x v="7"/>
    <x v="0"/>
    <x v="1"/>
    <n v="4"/>
    <n v="0"/>
    <x v="4"/>
  </r>
  <r>
    <x v="4"/>
    <x v="4"/>
    <x v="8"/>
    <x v="2"/>
    <x v="0"/>
    <n v="4"/>
    <n v="0"/>
    <x v="4"/>
  </r>
  <r>
    <x v="4"/>
    <x v="4"/>
    <x v="8"/>
    <x v="2"/>
    <x v="1"/>
    <n v="4"/>
    <n v="1"/>
    <x v="4"/>
  </r>
  <r>
    <x v="4"/>
    <x v="4"/>
    <x v="9"/>
    <x v="2"/>
    <x v="0"/>
    <n v="4"/>
    <n v="0"/>
    <x v="4"/>
  </r>
  <r>
    <x v="4"/>
    <x v="4"/>
    <x v="9"/>
    <x v="2"/>
    <x v="1"/>
    <n v="4"/>
    <n v="0"/>
    <x v="4"/>
  </r>
  <r>
    <x v="4"/>
    <x v="4"/>
    <x v="10"/>
    <x v="1"/>
    <x v="1"/>
    <n v="4"/>
    <n v="0"/>
    <x v="4"/>
  </r>
  <r>
    <x v="4"/>
    <x v="4"/>
    <x v="10"/>
    <x v="1"/>
    <x v="0"/>
    <n v="4"/>
    <n v="0"/>
    <x v="4"/>
  </r>
  <r>
    <x v="5"/>
    <x v="0"/>
    <x v="0"/>
    <x v="0"/>
    <x v="0"/>
    <n v="3"/>
    <n v="0"/>
    <x v="0"/>
  </r>
  <r>
    <x v="5"/>
    <x v="0"/>
    <x v="0"/>
    <x v="0"/>
    <x v="1"/>
    <n v="3"/>
    <n v="2"/>
    <x v="0"/>
  </r>
  <r>
    <x v="5"/>
    <x v="0"/>
    <x v="1"/>
    <x v="1"/>
    <x v="0"/>
    <n v="3"/>
    <n v="0"/>
    <x v="0"/>
  </r>
  <r>
    <x v="5"/>
    <x v="0"/>
    <x v="1"/>
    <x v="1"/>
    <x v="1"/>
    <n v="3"/>
    <n v="0"/>
    <x v="0"/>
  </r>
  <r>
    <x v="5"/>
    <x v="0"/>
    <x v="2"/>
    <x v="2"/>
    <x v="0"/>
    <n v="3"/>
    <n v="0"/>
    <x v="0"/>
  </r>
  <r>
    <x v="5"/>
    <x v="0"/>
    <x v="2"/>
    <x v="2"/>
    <x v="1"/>
    <n v="3"/>
    <n v="0"/>
    <x v="0"/>
  </r>
  <r>
    <x v="5"/>
    <x v="0"/>
    <x v="3"/>
    <x v="1"/>
    <x v="0"/>
    <n v="3"/>
    <n v="1"/>
    <x v="0"/>
  </r>
  <r>
    <x v="5"/>
    <x v="0"/>
    <x v="3"/>
    <x v="1"/>
    <x v="1"/>
    <n v="3"/>
    <n v="0"/>
    <x v="0"/>
  </r>
  <r>
    <x v="5"/>
    <x v="0"/>
    <x v="4"/>
    <x v="0"/>
    <x v="0"/>
    <n v="3"/>
    <n v="0"/>
    <x v="0"/>
  </r>
  <r>
    <x v="5"/>
    <x v="0"/>
    <x v="4"/>
    <x v="0"/>
    <x v="1"/>
    <n v="3"/>
    <n v="0"/>
    <x v="0"/>
  </r>
  <r>
    <x v="5"/>
    <x v="0"/>
    <x v="5"/>
    <x v="0"/>
    <x v="0"/>
    <n v="3"/>
    <n v="0"/>
    <x v="0"/>
  </r>
  <r>
    <x v="5"/>
    <x v="0"/>
    <x v="5"/>
    <x v="0"/>
    <x v="1"/>
    <n v="3"/>
    <n v="1"/>
    <x v="0"/>
  </r>
  <r>
    <x v="5"/>
    <x v="0"/>
    <x v="6"/>
    <x v="2"/>
    <x v="1"/>
    <n v="3"/>
    <n v="0"/>
    <x v="0"/>
  </r>
  <r>
    <x v="5"/>
    <x v="0"/>
    <x v="6"/>
    <x v="2"/>
    <x v="0"/>
    <n v="3"/>
    <n v="0"/>
    <x v="0"/>
  </r>
  <r>
    <x v="5"/>
    <x v="0"/>
    <x v="7"/>
    <x v="0"/>
    <x v="0"/>
    <n v="3"/>
    <n v="0"/>
    <x v="0"/>
  </r>
  <r>
    <x v="5"/>
    <x v="0"/>
    <x v="7"/>
    <x v="0"/>
    <x v="1"/>
    <n v="3"/>
    <n v="1"/>
    <x v="0"/>
  </r>
  <r>
    <x v="5"/>
    <x v="0"/>
    <x v="8"/>
    <x v="2"/>
    <x v="0"/>
    <n v="3"/>
    <n v="1"/>
    <x v="0"/>
  </r>
  <r>
    <x v="5"/>
    <x v="0"/>
    <x v="8"/>
    <x v="2"/>
    <x v="1"/>
    <n v="3"/>
    <n v="0"/>
    <x v="0"/>
  </r>
  <r>
    <x v="5"/>
    <x v="0"/>
    <x v="9"/>
    <x v="2"/>
    <x v="1"/>
    <n v="3"/>
    <n v="0"/>
    <x v="0"/>
  </r>
  <r>
    <x v="5"/>
    <x v="0"/>
    <x v="9"/>
    <x v="2"/>
    <x v="0"/>
    <n v="3"/>
    <n v="0"/>
    <x v="0"/>
  </r>
  <r>
    <x v="5"/>
    <x v="0"/>
    <x v="10"/>
    <x v="1"/>
    <x v="0"/>
    <n v="3"/>
    <n v="0"/>
    <x v="0"/>
  </r>
  <r>
    <x v="5"/>
    <x v="0"/>
    <x v="10"/>
    <x v="1"/>
    <x v="1"/>
    <n v="3"/>
    <n v="1"/>
    <x v="0"/>
  </r>
  <r>
    <x v="5"/>
    <x v="1"/>
    <x v="0"/>
    <x v="0"/>
    <x v="0"/>
    <n v="4"/>
    <n v="0"/>
    <x v="1"/>
  </r>
  <r>
    <x v="5"/>
    <x v="1"/>
    <x v="0"/>
    <x v="0"/>
    <x v="1"/>
    <n v="4"/>
    <n v="3"/>
    <x v="1"/>
  </r>
  <r>
    <x v="5"/>
    <x v="1"/>
    <x v="1"/>
    <x v="1"/>
    <x v="1"/>
    <n v="4"/>
    <n v="0"/>
    <x v="1"/>
  </r>
  <r>
    <x v="5"/>
    <x v="1"/>
    <x v="1"/>
    <x v="1"/>
    <x v="0"/>
    <n v="4"/>
    <n v="0"/>
    <x v="1"/>
  </r>
  <r>
    <x v="5"/>
    <x v="1"/>
    <x v="2"/>
    <x v="2"/>
    <x v="0"/>
    <n v="4"/>
    <n v="2"/>
    <x v="1"/>
  </r>
  <r>
    <x v="5"/>
    <x v="1"/>
    <x v="2"/>
    <x v="2"/>
    <x v="1"/>
    <n v="4"/>
    <n v="0"/>
    <x v="1"/>
  </r>
  <r>
    <x v="5"/>
    <x v="1"/>
    <x v="3"/>
    <x v="1"/>
    <x v="0"/>
    <n v="4"/>
    <n v="1"/>
    <x v="1"/>
  </r>
  <r>
    <x v="5"/>
    <x v="1"/>
    <x v="3"/>
    <x v="1"/>
    <x v="1"/>
    <n v="4"/>
    <n v="1"/>
    <x v="1"/>
  </r>
  <r>
    <x v="5"/>
    <x v="1"/>
    <x v="4"/>
    <x v="0"/>
    <x v="0"/>
    <n v="4"/>
    <n v="2"/>
    <x v="1"/>
  </r>
  <r>
    <x v="5"/>
    <x v="1"/>
    <x v="4"/>
    <x v="0"/>
    <x v="1"/>
    <n v="4"/>
    <n v="0"/>
    <x v="1"/>
  </r>
  <r>
    <x v="5"/>
    <x v="1"/>
    <x v="5"/>
    <x v="0"/>
    <x v="0"/>
    <n v="4"/>
    <n v="1"/>
    <x v="1"/>
  </r>
  <r>
    <x v="5"/>
    <x v="1"/>
    <x v="5"/>
    <x v="0"/>
    <x v="1"/>
    <n v="4"/>
    <n v="1"/>
    <x v="1"/>
  </r>
  <r>
    <x v="5"/>
    <x v="1"/>
    <x v="6"/>
    <x v="2"/>
    <x v="0"/>
    <n v="4"/>
    <n v="0"/>
    <x v="1"/>
  </r>
  <r>
    <x v="5"/>
    <x v="1"/>
    <x v="6"/>
    <x v="2"/>
    <x v="1"/>
    <n v="4"/>
    <n v="0"/>
    <x v="1"/>
  </r>
  <r>
    <x v="5"/>
    <x v="1"/>
    <x v="7"/>
    <x v="0"/>
    <x v="0"/>
    <n v="4"/>
    <n v="0"/>
    <x v="1"/>
  </r>
  <r>
    <x v="5"/>
    <x v="1"/>
    <x v="7"/>
    <x v="0"/>
    <x v="1"/>
    <n v="4"/>
    <n v="2"/>
    <x v="1"/>
  </r>
  <r>
    <x v="5"/>
    <x v="1"/>
    <x v="8"/>
    <x v="2"/>
    <x v="0"/>
    <n v="4"/>
    <n v="2"/>
    <x v="1"/>
  </r>
  <r>
    <x v="5"/>
    <x v="1"/>
    <x v="8"/>
    <x v="2"/>
    <x v="1"/>
    <n v="4"/>
    <n v="0"/>
    <x v="1"/>
  </r>
  <r>
    <x v="5"/>
    <x v="1"/>
    <x v="9"/>
    <x v="2"/>
    <x v="1"/>
    <n v="4"/>
    <n v="0"/>
    <x v="1"/>
  </r>
  <r>
    <x v="5"/>
    <x v="1"/>
    <x v="9"/>
    <x v="2"/>
    <x v="0"/>
    <n v="4"/>
    <n v="0"/>
    <x v="1"/>
  </r>
  <r>
    <x v="5"/>
    <x v="1"/>
    <x v="10"/>
    <x v="1"/>
    <x v="0"/>
    <n v="4"/>
    <n v="0"/>
    <x v="1"/>
  </r>
  <r>
    <x v="5"/>
    <x v="1"/>
    <x v="10"/>
    <x v="1"/>
    <x v="1"/>
    <n v="4"/>
    <n v="0"/>
    <x v="1"/>
  </r>
  <r>
    <x v="5"/>
    <x v="2"/>
    <x v="0"/>
    <x v="0"/>
    <x v="0"/>
    <n v="4"/>
    <n v="0"/>
    <x v="2"/>
  </r>
  <r>
    <x v="5"/>
    <x v="2"/>
    <x v="0"/>
    <x v="0"/>
    <x v="1"/>
    <n v="4"/>
    <n v="2"/>
    <x v="2"/>
  </r>
  <r>
    <x v="5"/>
    <x v="2"/>
    <x v="1"/>
    <x v="1"/>
    <x v="0"/>
    <n v="4"/>
    <n v="0"/>
    <x v="2"/>
  </r>
  <r>
    <x v="5"/>
    <x v="2"/>
    <x v="1"/>
    <x v="1"/>
    <x v="1"/>
    <n v="4"/>
    <n v="0"/>
    <x v="2"/>
  </r>
  <r>
    <x v="5"/>
    <x v="2"/>
    <x v="2"/>
    <x v="2"/>
    <x v="0"/>
    <n v="4"/>
    <n v="2"/>
    <x v="2"/>
  </r>
  <r>
    <x v="5"/>
    <x v="2"/>
    <x v="2"/>
    <x v="2"/>
    <x v="1"/>
    <n v="4"/>
    <n v="0"/>
    <x v="2"/>
  </r>
  <r>
    <x v="5"/>
    <x v="2"/>
    <x v="3"/>
    <x v="1"/>
    <x v="0"/>
    <n v="4"/>
    <n v="2"/>
    <x v="2"/>
  </r>
  <r>
    <x v="5"/>
    <x v="2"/>
    <x v="3"/>
    <x v="1"/>
    <x v="1"/>
    <n v="4"/>
    <n v="1"/>
    <x v="2"/>
  </r>
  <r>
    <x v="5"/>
    <x v="2"/>
    <x v="4"/>
    <x v="0"/>
    <x v="0"/>
    <n v="4"/>
    <n v="1"/>
    <x v="2"/>
  </r>
  <r>
    <x v="5"/>
    <x v="2"/>
    <x v="4"/>
    <x v="0"/>
    <x v="1"/>
    <n v="4"/>
    <n v="0"/>
    <x v="2"/>
  </r>
  <r>
    <x v="5"/>
    <x v="2"/>
    <x v="5"/>
    <x v="0"/>
    <x v="0"/>
    <n v="4"/>
    <n v="1"/>
    <x v="2"/>
  </r>
  <r>
    <x v="5"/>
    <x v="2"/>
    <x v="5"/>
    <x v="0"/>
    <x v="1"/>
    <n v="4"/>
    <n v="1"/>
    <x v="2"/>
  </r>
  <r>
    <x v="5"/>
    <x v="2"/>
    <x v="6"/>
    <x v="2"/>
    <x v="0"/>
    <n v="4"/>
    <n v="0"/>
    <x v="2"/>
  </r>
  <r>
    <x v="5"/>
    <x v="2"/>
    <x v="6"/>
    <x v="2"/>
    <x v="1"/>
    <n v="4"/>
    <n v="0"/>
    <x v="2"/>
  </r>
  <r>
    <x v="5"/>
    <x v="2"/>
    <x v="7"/>
    <x v="0"/>
    <x v="0"/>
    <n v="4"/>
    <n v="0"/>
    <x v="2"/>
  </r>
  <r>
    <x v="5"/>
    <x v="2"/>
    <x v="7"/>
    <x v="0"/>
    <x v="1"/>
    <n v="4"/>
    <n v="2"/>
    <x v="2"/>
  </r>
  <r>
    <x v="5"/>
    <x v="2"/>
    <x v="8"/>
    <x v="2"/>
    <x v="0"/>
    <n v="4"/>
    <n v="3"/>
    <x v="2"/>
  </r>
  <r>
    <x v="5"/>
    <x v="2"/>
    <x v="8"/>
    <x v="2"/>
    <x v="1"/>
    <n v="4"/>
    <n v="0"/>
    <x v="2"/>
  </r>
  <r>
    <x v="5"/>
    <x v="2"/>
    <x v="9"/>
    <x v="2"/>
    <x v="0"/>
    <n v="4"/>
    <n v="0"/>
    <x v="2"/>
  </r>
  <r>
    <x v="5"/>
    <x v="2"/>
    <x v="9"/>
    <x v="2"/>
    <x v="1"/>
    <n v="4"/>
    <n v="0"/>
    <x v="2"/>
  </r>
  <r>
    <x v="5"/>
    <x v="2"/>
    <x v="10"/>
    <x v="1"/>
    <x v="0"/>
    <n v="4"/>
    <n v="0"/>
    <x v="2"/>
  </r>
  <r>
    <x v="5"/>
    <x v="2"/>
    <x v="10"/>
    <x v="1"/>
    <x v="1"/>
    <n v="4"/>
    <n v="0"/>
    <x v="2"/>
  </r>
  <r>
    <x v="5"/>
    <x v="3"/>
    <x v="0"/>
    <x v="0"/>
    <x v="0"/>
    <n v="5"/>
    <n v="0"/>
    <x v="3"/>
  </r>
  <r>
    <x v="5"/>
    <x v="3"/>
    <x v="0"/>
    <x v="0"/>
    <x v="1"/>
    <n v="5"/>
    <n v="3"/>
    <x v="3"/>
  </r>
  <r>
    <x v="5"/>
    <x v="3"/>
    <x v="1"/>
    <x v="1"/>
    <x v="0"/>
    <n v="5"/>
    <n v="1"/>
    <x v="3"/>
  </r>
  <r>
    <x v="5"/>
    <x v="3"/>
    <x v="1"/>
    <x v="1"/>
    <x v="1"/>
    <n v="5"/>
    <n v="0"/>
    <x v="3"/>
  </r>
  <r>
    <x v="5"/>
    <x v="3"/>
    <x v="2"/>
    <x v="2"/>
    <x v="0"/>
    <n v="5"/>
    <n v="2"/>
    <x v="3"/>
  </r>
  <r>
    <x v="5"/>
    <x v="3"/>
    <x v="2"/>
    <x v="2"/>
    <x v="1"/>
    <n v="5"/>
    <n v="1"/>
    <x v="3"/>
  </r>
  <r>
    <x v="5"/>
    <x v="3"/>
    <x v="3"/>
    <x v="1"/>
    <x v="0"/>
    <n v="5"/>
    <n v="3"/>
    <x v="3"/>
  </r>
  <r>
    <x v="5"/>
    <x v="3"/>
    <x v="3"/>
    <x v="1"/>
    <x v="1"/>
    <n v="5"/>
    <n v="2"/>
    <x v="3"/>
  </r>
  <r>
    <x v="5"/>
    <x v="3"/>
    <x v="4"/>
    <x v="0"/>
    <x v="0"/>
    <n v="5"/>
    <n v="1"/>
    <x v="3"/>
  </r>
  <r>
    <x v="5"/>
    <x v="3"/>
    <x v="4"/>
    <x v="0"/>
    <x v="1"/>
    <n v="5"/>
    <n v="0"/>
    <x v="3"/>
  </r>
  <r>
    <x v="5"/>
    <x v="3"/>
    <x v="5"/>
    <x v="0"/>
    <x v="0"/>
    <n v="5"/>
    <n v="1"/>
    <x v="3"/>
  </r>
  <r>
    <x v="5"/>
    <x v="3"/>
    <x v="5"/>
    <x v="0"/>
    <x v="1"/>
    <n v="5"/>
    <n v="0"/>
    <x v="3"/>
  </r>
  <r>
    <x v="5"/>
    <x v="3"/>
    <x v="6"/>
    <x v="2"/>
    <x v="1"/>
    <n v="5"/>
    <n v="0"/>
    <x v="3"/>
  </r>
  <r>
    <x v="5"/>
    <x v="3"/>
    <x v="6"/>
    <x v="2"/>
    <x v="0"/>
    <n v="5"/>
    <n v="1"/>
    <x v="3"/>
  </r>
  <r>
    <x v="5"/>
    <x v="3"/>
    <x v="7"/>
    <x v="0"/>
    <x v="0"/>
    <n v="5"/>
    <n v="0"/>
    <x v="3"/>
  </r>
  <r>
    <x v="5"/>
    <x v="3"/>
    <x v="7"/>
    <x v="0"/>
    <x v="1"/>
    <n v="5"/>
    <n v="3"/>
    <x v="3"/>
  </r>
  <r>
    <x v="5"/>
    <x v="3"/>
    <x v="8"/>
    <x v="2"/>
    <x v="0"/>
    <n v="5"/>
    <n v="3"/>
    <x v="3"/>
  </r>
  <r>
    <x v="5"/>
    <x v="3"/>
    <x v="8"/>
    <x v="2"/>
    <x v="1"/>
    <n v="5"/>
    <n v="0"/>
    <x v="3"/>
  </r>
  <r>
    <x v="5"/>
    <x v="3"/>
    <x v="9"/>
    <x v="2"/>
    <x v="0"/>
    <n v="5"/>
    <n v="1"/>
    <x v="3"/>
  </r>
  <r>
    <x v="5"/>
    <x v="3"/>
    <x v="9"/>
    <x v="2"/>
    <x v="1"/>
    <n v="5"/>
    <n v="0"/>
    <x v="3"/>
  </r>
  <r>
    <x v="5"/>
    <x v="3"/>
    <x v="10"/>
    <x v="1"/>
    <x v="0"/>
    <n v="5"/>
    <n v="0"/>
    <x v="3"/>
  </r>
  <r>
    <x v="5"/>
    <x v="3"/>
    <x v="10"/>
    <x v="1"/>
    <x v="1"/>
    <n v="5"/>
    <n v="2"/>
    <x v="3"/>
  </r>
  <r>
    <x v="5"/>
    <x v="4"/>
    <x v="0"/>
    <x v="0"/>
    <x v="0"/>
    <n v="5"/>
    <n v="0"/>
    <x v="4"/>
  </r>
  <r>
    <x v="5"/>
    <x v="4"/>
    <x v="0"/>
    <x v="0"/>
    <x v="1"/>
    <n v="5"/>
    <n v="3"/>
    <x v="4"/>
  </r>
  <r>
    <x v="5"/>
    <x v="4"/>
    <x v="1"/>
    <x v="1"/>
    <x v="1"/>
    <n v="5"/>
    <n v="0"/>
    <x v="4"/>
  </r>
  <r>
    <x v="5"/>
    <x v="4"/>
    <x v="1"/>
    <x v="1"/>
    <x v="0"/>
    <n v="5"/>
    <n v="1"/>
    <x v="4"/>
  </r>
  <r>
    <x v="5"/>
    <x v="4"/>
    <x v="2"/>
    <x v="2"/>
    <x v="1"/>
    <n v="5"/>
    <n v="0"/>
    <x v="4"/>
  </r>
  <r>
    <x v="5"/>
    <x v="4"/>
    <x v="2"/>
    <x v="2"/>
    <x v="0"/>
    <n v="5"/>
    <n v="2"/>
    <x v="4"/>
  </r>
  <r>
    <x v="5"/>
    <x v="4"/>
    <x v="3"/>
    <x v="1"/>
    <x v="0"/>
    <n v="5"/>
    <n v="3"/>
    <x v="4"/>
  </r>
  <r>
    <x v="5"/>
    <x v="4"/>
    <x v="3"/>
    <x v="1"/>
    <x v="1"/>
    <n v="5"/>
    <n v="1"/>
    <x v="4"/>
  </r>
  <r>
    <x v="5"/>
    <x v="4"/>
    <x v="4"/>
    <x v="0"/>
    <x v="0"/>
    <n v="5"/>
    <n v="2"/>
    <x v="4"/>
  </r>
  <r>
    <x v="5"/>
    <x v="4"/>
    <x v="4"/>
    <x v="0"/>
    <x v="1"/>
    <n v="5"/>
    <n v="0"/>
    <x v="4"/>
  </r>
  <r>
    <x v="5"/>
    <x v="4"/>
    <x v="5"/>
    <x v="0"/>
    <x v="0"/>
    <n v="5"/>
    <n v="1"/>
    <x v="4"/>
  </r>
  <r>
    <x v="5"/>
    <x v="4"/>
    <x v="5"/>
    <x v="0"/>
    <x v="1"/>
    <n v="5"/>
    <n v="0"/>
    <x v="4"/>
  </r>
  <r>
    <x v="5"/>
    <x v="4"/>
    <x v="6"/>
    <x v="2"/>
    <x v="1"/>
    <n v="5"/>
    <n v="0"/>
    <x v="4"/>
  </r>
  <r>
    <x v="5"/>
    <x v="4"/>
    <x v="6"/>
    <x v="2"/>
    <x v="0"/>
    <n v="5"/>
    <n v="1"/>
    <x v="4"/>
  </r>
  <r>
    <x v="5"/>
    <x v="4"/>
    <x v="7"/>
    <x v="0"/>
    <x v="0"/>
    <n v="5"/>
    <n v="0"/>
    <x v="4"/>
  </r>
  <r>
    <x v="5"/>
    <x v="4"/>
    <x v="7"/>
    <x v="0"/>
    <x v="1"/>
    <n v="5"/>
    <n v="3"/>
    <x v="4"/>
  </r>
  <r>
    <x v="5"/>
    <x v="4"/>
    <x v="8"/>
    <x v="2"/>
    <x v="0"/>
    <n v="5"/>
    <n v="3"/>
    <x v="4"/>
  </r>
  <r>
    <x v="5"/>
    <x v="4"/>
    <x v="8"/>
    <x v="2"/>
    <x v="1"/>
    <n v="5"/>
    <n v="0"/>
    <x v="4"/>
  </r>
  <r>
    <x v="5"/>
    <x v="4"/>
    <x v="9"/>
    <x v="2"/>
    <x v="0"/>
    <n v="5"/>
    <n v="0"/>
    <x v="4"/>
  </r>
  <r>
    <x v="5"/>
    <x v="4"/>
    <x v="9"/>
    <x v="2"/>
    <x v="1"/>
    <n v="5"/>
    <n v="0"/>
    <x v="4"/>
  </r>
  <r>
    <x v="5"/>
    <x v="4"/>
    <x v="10"/>
    <x v="1"/>
    <x v="0"/>
    <n v="5"/>
    <n v="0"/>
    <x v="4"/>
  </r>
  <r>
    <x v="5"/>
    <x v="4"/>
    <x v="10"/>
    <x v="1"/>
    <x v="1"/>
    <n v="5"/>
    <n v="2"/>
    <x v="4"/>
  </r>
  <r>
    <x v="6"/>
    <x v="0"/>
    <x v="0"/>
    <x v="0"/>
    <x v="0"/>
    <n v="5"/>
    <n v="0"/>
    <x v="0"/>
  </r>
  <r>
    <x v="6"/>
    <x v="0"/>
    <x v="0"/>
    <x v="0"/>
    <x v="1"/>
    <n v="5"/>
    <n v="0"/>
    <x v="0"/>
  </r>
  <r>
    <x v="6"/>
    <x v="0"/>
    <x v="1"/>
    <x v="1"/>
    <x v="0"/>
    <n v="5"/>
    <n v="0"/>
    <x v="0"/>
  </r>
  <r>
    <x v="6"/>
    <x v="0"/>
    <x v="1"/>
    <x v="1"/>
    <x v="1"/>
    <n v="5"/>
    <n v="0"/>
    <x v="0"/>
  </r>
  <r>
    <x v="6"/>
    <x v="0"/>
    <x v="2"/>
    <x v="2"/>
    <x v="0"/>
    <n v="5"/>
    <n v="1"/>
    <x v="0"/>
  </r>
  <r>
    <x v="6"/>
    <x v="0"/>
    <x v="2"/>
    <x v="2"/>
    <x v="1"/>
    <n v="5"/>
    <n v="0"/>
    <x v="0"/>
  </r>
  <r>
    <x v="6"/>
    <x v="0"/>
    <x v="3"/>
    <x v="1"/>
    <x v="0"/>
    <n v="5"/>
    <n v="1"/>
    <x v="0"/>
  </r>
  <r>
    <x v="6"/>
    <x v="0"/>
    <x v="3"/>
    <x v="1"/>
    <x v="1"/>
    <n v="5"/>
    <n v="0"/>
    <x v="0"/>
  </r>
  <r>
    <x v="6"/>
    <x v="0"/>
    <x v="4"/>
    <x v="0"/>
    <x v="0"/>
    <n v="5"/>
    <n v="1"/>
    <x v="0"/>
  </r>
  <r>
    <x v="6"/>
    <x v="0"/>
    <x v="4"/>
    <x v="0"/>
    <x v="1"/>
    <n v="5"/>
    <n v="0"/>
    <x v="0"/>
  </r>
  <r>
    <x v="6"/>
    <x v="0"/>
    <x v="5"/>
    <x v="0"/>
    <x v="0"/>
    <n v="5"/>
    <n v="1"/>
    <x v="0"/>
  </r>
  <r>
    <x v="6"/>
    <x v="0"/>
    <x v="5"/>
    <x v="0"/>
    <x v="1"/>
    <n v="5"/>
    <n v="0"/>
    <x v="0"/>
  </r>
  <r>
    <x v="6"/>
    <x v="0"/>
    <x v="6"/>
    <x v="2"/>
    <x v="0"/>
    <n v="5"/>
    <n v="0"/>
    <x v="0"/>
  </r>
  <r>
    <x v="6"/>
    <x v="0"/>
    <x v="6"/>
    <x v="2"/>
    <x v="1"/>
    <n v="5"/>
    <n v="0"/>
    <x v="0"/>
  </r>
  <r>
    <x v="6"/>
    <x v="0"/>
    <x v="7"/>
    <x v="0"/>
    <x v="0"/>
    <n v="5"/>
    <n v="0"/>
    <x v="0"/>
  </r>
  <r>
    <x v="6"/>
    <x v="0"/>
    <x v="7"/>
    <x v="0"/>
    <x v="1"/>
    <n v="5"/>
    <n v="0"/>
    <x v="0"/>
  </r>
  <r>
    <x v="6"/>
    <x v="0"/>
    <x v="8"/>
    <x v="2"/>
    <x v="0"/>
    <n v="5"/>
    <n v="1"/>
    <x v="0"/>
  </r>
  <r>
    <x v="6"/>
    <x v="0"/>
    <x v="8"/>
    <x v="2"/>
    <x v="1"/>
    <n v="5"/>
    <n v="0"/>
    <x v="0"/>
  </r>
  <r>
    <x v="6"/>
    <x v="0"/>
    <x v="9"/>
    <x v="2"/>
    <x v="0"/>
    <n v="5"/>
    <n v="0"/>
    <x v="0"/>
  </r>
  <r>
    <x v="6"/>
    <x v="0"/>
    <x v="9"/>
    <x v="2"/>
    <x v="1"/>
    <n v="5"/>
    <n v="0"/>
    <x v="0"/>
  </r>
  <r>
    <x v="6"/>
    <x v="0"/>
    <x v="10"/>
    <x v="1"/>
    <x v="0"/>
    <n v="5"/>
    <n v="0"/>
    <x v="0"/>
  </r>
  <r>
    <x v="6"/>
    <x v="0"/>
    <x v="10"/>
    <x v="1"/>
    <x v="1"/>
    <n v="5"/>
    <n v="0"/>
    <x v="0"/>
  </r>
  <r>
    <x v="6"/>
    <x v="1"/>
    <x v="0"/>
    <x v="0"/>
    <x v="0"/>
    <n v="5"/>
    <n v="0"/>
    <x v="1"/>
  </r>
  <r>
    <x v="6"/>
    <x v="1"/>
    <x v="0"/>
    <x v="0"/>
    <x v="1"/>
    <n v="5"/>
    <n v="0"/>
    <x v="1"/>
  </r>
  <r>
    <x v="6"/>
    <x v="1"/>
    <x v="1"/>
    <x v="1"/>
    <x v="0"/>
    <n v="5"/>
    <n v="0"/>
    <x v="1"/>
  </r>
  <r>
    <x v="6"/>
    <x v="1"/>
    <x v="1"/>
    <x v="1"/>
    <x v="1"/>
    <n v="5"/>
    <n v="0"/>
    <x v="1"/>
  </r>
  <r>
    <x v="6"/>
    <x v="1"/>
    <x v="2"/>
    <x v="2"/>
    <x v="0"/>
    <n v="5"/>
    <n v="1"/>
    <x v="1"/>
  </r>
  <r>
    <x v="6"/>
    <x v="1"/>
    <x v="2"/>
    <x v="2"/>
    <x v="1"/>
    <n v="5"/>
    <n v="0"/>
    <x v="1"/>
  </r>
  <r>
    <x v="6"/>
    <x v="1"/>
    <x v="3"/>
    <x v="1"/>
    <x v="0"/>
    <n v="5"/>
    <n v="0"/>
    <x v="1"/>
  </r>
  <r>
    <x v="6"/>
    <x v="1"/>
    <x v="3"/>
    <x v="1"/>
    <x v="1"/>
    <n v="5"/>
    <n v="0"/>
    <x v="1"/>
  </r>
  <r>
    <x v="6"/>
    <x v="1"/>
    <x v="4"/>
    <x v="0"/>
    <x v="0"/>
    <n v="5"/>
    <n v="1"/>
    <x v="1"/>
  </r>
  <r>
    <x v="6"/>
    <x v="1"/>
    <x v="4"/>
    <x v="0"/>
    <x v="1"/>
    <n v="5"/>
    <n v="0"/>
    <x v="1"/>
  </r>
  <r>
    <x v="6"/>
    <x v="1"/>
    <x v="5"/>
    <x v="0"/>
    <x v="0"/>
    <n v="5"/>
    <n v="1"/>
    <x v="1"/>
  </r>
  <r>
    <x v="6"/>
    <x v="1"/>
    <x v="5"/>
    <x v="0"/>
    <x v="1"/>
    <n v="5"/>
    <n v="0"/>
    <x v="1"/>
  </r>
  <r>
    <x v="6"/>
    <x v="1"/>
    <x v="6"/>
    <x v="2"/>
    <x v="1"/>
    <n v="5"/>
    <n v="0"/>
    <x v="1"/>
  </r>
  <r>
    <x v="6"/>
    <x v="1"/>
    <x v="6"/>
    <x v="2"/>
    <x v="0"/>
    <n v="5"/>
    <n v="0"/>
    <x v="1"/>
  </r>
  <r>
    <x v="6"/>
    <x v="1"/>
    <x v="7"/>
    <x v="0"/>
    <x v="0"/>
    <n v="5"/>
    <n v="0"/>
    <x v="1"/>
  </r>
  <r>
    <x v="6"/>
    <x v="1"/>
    <x v="7"/>
    <x v="0"/>
    <x v="1"/>
    <n v="5"/>
    <n v="0"/>
    <x v="1"/>
  </r>
  <r>
    <x v="6"/>
    <x v="1"/>
    <x v="8"/>
    <x v="2"/>
    <x v="0"/>
    <n v="5"/>
    <n v="1"/>
    <x v="1"/>
  </r>
  <r>
    <x v="6"/>
    <x v="1"/>
    <x v="8"/>
    <x v="2"/>
    <x v="1"/>
    <n v="5"/>
    <n v="0"/>
    <x v="1"/>
  </r>
  <r>
    <x v="6"/>
    <x v="1"/>
    <x v="9"/>
    <x v="2"/>
    <x v="1"/>
    <n v="5"/>
    <n v="0"/>
    <x v="1"/>
  </r>
  <r>
    <x v="6"/>
    <x v="1"/>
    <x v="9"/>
    <x v="2"/>
    <x v="0"/>
    <n v="5"/>
    <n v="0"/>
    <x v="1"/>
  </r>
  <r>
    <x v="6"/>
    <x v="1"/>
    <x v="10"/>
    <x v="1"/>
    <x v="0"/>
    <n v="5"/>
    <n v="0"/>
    <x v="1"/>
  </r>
  <r>
    <x v="6"/>
    <x v="1"/>
    <x v="10"/>
    <x v="1"/>
    <x v="1"/>
    <n v="5"/>
    <n v="0"/>
    <x v="1"/>
  </r>
  <r>
    <x v="6"/>
    <x v="2"/>
    <x v="0"/>
    <x v="0"/>
    <x v="0"/>
    <n v="4"/>
    <n v="0"/>
    <x v="2"/>
  </r>
  <r>
    <x v="6"/>
    <x v="2"/>
    <x v="0"/>
    <x v="0"/>
    <x v="1"/>
    <n v="4"/>
    <n v="0"/>
    <x v="2"/>
  </r>
  <r>
    <x v="6"/>
    <x v="2"/>
    <x v="1"/>
    <x v="1"/>
    <x v="1"/>
    <n v="4"/>
    <n v="0"/>
    <x v="2"/>
  </r>
  <r>
    <x v="6"/>
    <x v="2"/>
    <x v="1"/>
    <x v="1"/>
    <x v="0"/>
    <n v="4"/>
    <n v="0"/>
    <x v="2"/>
  </r>
  <r>
    <x v="6"/>
    <x v="2"/>
    <x v="2"/>
    <x v="2"/>
    <x v="0"/>
    <n v="4"/>
    <n v="1"/>
    <x v="2"/>
  </r>
  <r>
    <x v="6"/>
    <x v="2"/>
    <x v="2"/>
    <x v="2"/>
    <x v="1"/>
    <n v="4"/>
    <n v="0"/>
    <x v="2"/>
  </r>
  <r>
    <x v="6"/>
    <x v="2"/>
    <x v="3"/>
    <x v="1"/>
    <x v="0"/>
    <n v="4"/>
    <n v="0"/>
    <x v="2"/>
  </r>
  <r>
    <x v="6"/>
    <x v="2"/>
    <x v="3"/>
    <x v="1"/>
    <x v="1"/>
    <n v="4"/>
    <n v="0"/>
    <x v="2"/>
  </r>
  <r>
    <x v="6"/>
    <x v="2"/>
    <x v="4"/>
    <x v="0"/>
    <x v="0"/>
    <n v="4"/>
    <n v="1"/>
    <x v="2"/>
  </r>
  <r>
    <x v="6"/>
    <x v="2"/>
    <x v="4"/>
    <x v="0"/>
    <x v="1"/>
    <n v="4"/>
    <n v="0"/>
    <x v="2"/>
  </r>
  <r>
    <x v="6"/>
    <x v="2"/>
    <x v="5"/>
    <x v="0"/>
    <x v="0"/>
    <n v="4"/>
    <n v="0"/>
    <x v="2"/>
  </r>
  <r>
    <x v="6"/>
    <x v="2"/>
    <x v="5"/>
    <x v="0"/>
    <x v="1"/>
    <n v="4"/>
    <n v="0"/>
    <x v="2"/>
  </r>
  <r>
    <x v="6"/>
    <x v="2"/>
    <x v="6"/>
    <x v="2"/>
    <x v="0"/>
    <n v="4"/>
    <n v="0"/>
    <x v="2"/>
  </r>
  <r>
    <x v="6"/>
    <x v="2"/>
    <x v="6"/>
    <x v="2"/>
    <x v="1"/>
    <n v="4"/>
    <n v="0"/>
    <x v="2"/>
  </r>
  <r>
    <x v="6"/>
    <x v="2"/>
    <x v="7"/>
    <x v="0"/>
    <x v="0"/>
    <n v="4"/>
    <n v="0"/>
    <x v="2"/>
  </r>
  <r>
    <x v="6"/>
    <x v="2"/>
    <x v="7"/>
    <x v="0"/>
    <x v="1"/>
    <n v="4"/>
    <n v="0"/>
    <x v="2"/>
  </r>
  <r>
    <x v="6"/>
    <x v="2"/>
    <x v="8"/>
    <x v="2"/>
    <x v="0"/>
    <n v="4"/>
    <n v="1"/>
    <x v="2"/>
  </r>
  <r>
    <x v="6"/>
    <x v="2"/>
    <x v="8"/>
    <x v="2"/>
    <x v="1"/>
    <n v="4"/>
    <n v="0"/>
    <x v="2"/>
  </r>
  <r>
    <x v="6"/>
    <x v="2"/>
    <x v="9"/>
    <x v="2"/>
    <x v="1"/>
    <n v="4"/>
    <n v="0"/>
    <x v="2"/>
  </r>
  <r>
    <x v="6"/>
    <x v="2"/>
    <x v="9"/>
    <x v="2"/>
    <x v="0"/>
    <n v="4"/>
    <n v="0"/>
    <x v="2"/>
  </r>
  <r>
    <x v="6"/>
    <x v="2"/>
    <x v="10"/>
    <x v="1"/>
    <x v="0"/>
    <n v="4"/>
    <n v="0"/>
    <x v="2"/>
  </r>
  <r>
    <x v="6"/>
    <x v="2"/>
    <x v="10"/>
    <x v="1"/>
    <x v="1"/>
    <n v="4"/>
    <n v="0"/>
    <x v="2"/>
  </r>
  <r>
    <x v="6"/>
    <x v="3"/>
    <x v="0"/>
    <x v="0"/>
    <x v="0"/>
    <n v="4"/>
    <n v="0"/>
    <x v="3"/>
  </r>
  <r>
    <x v="6"/>
    <x v="3"/>
    <x v="0"/>
    <x v="0"/>
    <x v="1"/>
    <n v="4"/>
    <n v="0"/>
    <x v="3"/>
  </r>
  <r>
    <x v="6"/>
    <x v="3"/>
    <x v="1"/>
    <x v="1"/>
    <x v="0"/>
    <n v="4"/>
    <n v="0"/>
    <x v="3"/>
  </r>
  <r>
    <x v="6"/>
    <x v="3"/>
    <x v="1"/>
    <x v="1"/>
    <x v="1"/>
    <n v="4"/>
    <n v="0"/>
    <x v="3"/>
  </r>
  <r>
    <x v="6"/>
    <x v="3"/>
    <x v="2"/>
    <x v="2"/>
    <x v="0"/>
    <n v="4"/>
    <n v="1"/>
    <x v="3"/>
  </r>
  <r>
    <x v="6"/>
    <x v="3"/>
    <x v="2"/>
    <x v="2"/>
    <x v="1"/>
    <n v="4"/>
    <n v="0"/>
    <x v="3"/>
  </r>
  <r>
    <x v="6"/>
    <x v="3"/>
    <x v="3"/>
    <x v="1"/>
    <x v="0"/>
    <n v="4"/>
    <n v="0"/>
    <x v="3"/>
  </r>
  <r>
    <x v="6"/>
    <x v="3"/>
    <x v="3"/>
    <x v="1"/>
    <x v="1"/>
    <n v="4"/>
    <n v="0"/>
    <x v="3"/>
  </r>
  <r>
    <x v="6"/>
    <x v="3"/>
    <x v="4"/>
    <x v="0"/>
    <x v="0"/>
    <n v="4"/>
    <n v="1"/>
    <x v="3"/>
  </r>
  <r>
    <x v="6"/>
    <x v="3"/>
    <x v="4"/>
    <x v="0"/>
    <x v="1"/>
    <n v="4"/>
    <n v="0"/>
    <x v="3"/>
  </r>
  <r>
    <x v="6"/>
    <x v="3"/>
    <x v="5"/>
    <x v="0"/>
    <x v="0"/>
    <n v="4"/>
    <n v="0"/>
    <x v="3"/>
  </r>
  <r>
    <x v="6"/>
    <x v="3"/>
    <x v="5"/>
    <x v="0"/>
    <x v="1"/>
    <n v="4"/>
    <n v="0"/>
    <x v="3"/>
  </r>
  <r>
    <x v="6"/>
    <x v="3"/>
    <x v="6"/>
    <x v="2"/>
    <x v="0"/>
    <n v="4"/>
    <n v="0"/>
    <x v="3"/>
  </r>
  <r>
    <x v="6"/>
    <x v="3"/>
    <x v="6"/>
    <x v="2"/>
    <x v="1"/>
    <n v="4"/>
    <n v="0"/>
    <x v="3"/>
  </r>
  <r>
    <x v="6"/>
    <x v="3"/>
    <x v="7"/>
    <x v="0"/>
    <x v="0"/>
    <n v="4"/>
    <n v="0"/>
    <x v="3"/>
  </r>
  <r>
    <x v="6"/>
    <x v="3"/>
    <x v="7"/>
    <x v="0"/>
    <x v="1"/>
    <n v="4"/>
    <n v="0"/>
    <x v="3"/>
  </r>
  <r>
    <x v="6"/>
    <x v="3"/>
    <x v="8"/>
    <x v="2"/>
    <x v="0"/>
    <n v="4"/>
    <n v="1"/>
    <x v="3"/>
  </r>
  <r>
    <x v="6"/>
    <x v="3"/>
    <x v="8"/>
    <x v="2"/>
    <x v="1"/>
    <n v="4"/>
    <n v="0"/>
    <x v="3"/>
  </r>
  <r>
    <x v="6"/>
    <x v="3"/>
    <x v="9"/>
    <x v="2"/>
    <x v="0"/>
    <n v="4"/>
    <n v="0"/>
    <x v="3"/>
  </r>
  <r>
    <x v="6"/>
    <x v="3"/>
    <x v="9"/>
    <x v="2"/>
    <x v="1"/>
    <n v="4"/>
    <n v="0"/>
    <x v="3"/>
  </r>
  <r>
    <x v="6"/>
    <x v="3"/>
    <x v="10"/>
    <x v="1"/>
    <x v="0"/>
    <n v="4"/>
    <n v="0"/>
    <x v="3"/>
  </r>
  <r>
    <x v="6"/>
    <x v="3"/>
    <x v="10"/>
    <x v="1"/>
    <x v="1"/>
    <n v="4"/>
    <n v="0"/>
    <x v="3"/>
  </r>
  <r>
    <x v="6"/>
    <x v="4"/>
    <x v="0"/>
    <x v="0"/>
    <x v="0"/>
    <n v="4"/>
    <n v="0"/>
    <x v="4"/>
  </r>
  <r>
    <x v="6"/>
    <x v="4"/>
    <x v="0"/>
    <x v="0"/>
    <x v="1"/>
    <n v="4"/>
    <n v="0"/>
    <x v="4"/>
  </r>
  <r>
    <x v="6"/>
    <x v="4"/>
    <x v="1"/>
    <x v="1"/>
    <x v="0"/>
    <n v="4"/>
    <n v="0"/>
    <x v="4"/>
  </r>
  <r>
    <x v="6"/>
    <x v="4"/>
    <x v="1"/>
    <x v="1"/>
    <x v="1"/>
    <n v="4"/>
    <n v="0"/>
    <x v="4"/>
  </r>
  <r>
    <x v="6"/>
    <x v="4"/>
    <x v="2"/>
    <x v="2"/>
    <x v="0"/>
    <n v="4"/>
    <n v="0"/>
    <x v="4"/>
  </r>
  <r>
    <x v="6"/>
    <x v="4"/>
    <x v="2"/>
    <x v="2"/>
    <x v="1"/>
    <n v="4"/>
    <n v="0"/>
    <x v="4"/>
  </r>
  <r>
    <x v="6"/>
    <x v="4"/>
    <x v="3"/>
    <x v="1"/>
    <x v="0"/>
    <n v="4"/>
    <n v="0"/>
    <x v="4"/>
  </r>
  <r>
    <x v="6"/>
    <x v="4"/>
    <x v="3"/>
    <x v="1"/>
    <x v="1"/>
    <n v="4"/>
    <n v="0"/>
    <x v="4"/>
  </r>
  <r>
    <x v="6"/>
    <x v="4"/>
    <x v="4"/>
    <x v="0"/>
    <x v="0"/>
    <n v="4"/>
    <n v="0"/>
    <x v="4"/>
  </r>
  <r>
    <x v="6"/>
    <x v="4"/>
    <x v="4"/>
    <x v="0"/>
    <x v="1"/>
    <n v="4"/>
    <n v="0"/>
    <x v="4"/>
  </r>
  <r>
    <x v="6"/>
    <x v="4"/>
    <x v="5"/>
    <x v="0"/>
    <x v="0"/>
    <n v="4"/>
    <n v="0"/>
    <x v="4"/>
  </r>
  <r>
    <x v="6"/>
    <x v="4"/>
    <x v="5"/>
    <x v="0"/>
    <x v="1"/>
    <n v="4"/>
    <n v="0"/>
    <x v="4"/>
  </r>
  <r>
    <x v="6"/>
    <x v="4"/>
    <x v="6"/>
    <x v="2"/>
    <x v="1"/>
    <n v="4"/>
    <n v="0"/>
    <x v="4"/>
  </r>
  <r>
    <x v="6"/>
    <x v="4"/>
    <x v="6"/>
    <x v="2"/>
    <x v="0"/>
    <n v="4"/>
    <n v="0"/>
    <x v="4"/>
  </r>
  <r>
    <x v="6"/>
    <x v="4"/>
    <x v="7"/>
    <x v="0"/>
    <x v="0"/>
    <n v="4"/>
    <n v="0"/>
    <x v="4"/>
  </r>
  <r>
    <x v="6"/>
    <x v="4"/>
    <x v="7"/>
    <x v="0"/>
    <x v="1"/>
    <n v="4"/>
    <n v="0"/>
    <x v="4"/>
  </r>
  <r>
    <x v="6"/>
    <x v="4"/>
    <x v="8"/>
    <x v="2"/>
    <x v="0"/>
    <n v="4"/>
    <n v="0"/>
    <x v="4"/>
  </r>
  <r>
    <x v="6"/>
    <x v="4"/>
    <x v="8"/>
    <x v="2"/>
    <x v="1"/>
    <n v="4"/>
    <n v="0"/>
    <x v="4"/>
  </r>
  <r>
    <x v="6"/>
    <x v="4"/>
    <x v="9"/>
    <x v="2"/>
    <x v="0"/>
    <n v="4"/>
    <n v="0"/>
    <x v="4"/>
  </r>
  <r>
    <x v="6"/>
    <x v="4"/>
    <x v="9"/>
    <x v="2"/>
    <x v="1"/>
    <n v="4"/>
    <n v="0"/>
    <x v="4"/>
  </r>
  <r>
    <x v="6"/>
    <x v="4"/>
    <x v="10"/>
    <x v="1"/>
    <x v="0"/>
    <n v="4"/>
    <n v="0"/>
    <x v="4"/>
  </r>
  <r>
    <x v="6"/>
    <x v="4"/>
    <x v="10"/>
    <x v="1"/>
    <x v="1"/>
    <n v="4"/>
    <n v="0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695BFC-DD8C-4991-A3E7-3954776D6667}" name="PivotTable5" cacheId="0" applyNumberFormats="0" applyBorderFormats="0" applyFontFormats="0" applyPatternFormats="0" applyAlignmentFormats="0" applyWidthHeightFormats="1" dataCaption="Werte" updatedVersion="8" minRefreshableVersion="3" useAutoFormatting="1" colGrandTotals="0" itemPrintTitles="1" createdVersion="8" indent="0" outline="1" outlineData="1" multipleFieldFilters="0" chartFormat="1">
  <location ref="A3:B10" firstHeaderRow="1" firstDataRow="2" firstDataCol="1"/>
  <pivotFields count="13">
    <pivotField numFmtId="165" showAll="0"/>
    <pivotField numFmtId="1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axis="axisCol" showAll="0">
      <items count="3">
        <item x="0"/>
        <item h="1" x="1"/>
        <item t="default"/>
      </items>
    </pivotField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dragToRow="0" dragToCol="0" dragToPage="0" showAll="0" defaultSubtotal="0"/>
    <pivotField showAll="0" defaultSubtotal="0"/>
    <pivotField showAll="0" defaultSubtotal="0"/>
    <pivotField dataField="1" dragToRow="0" dragToCol="0" dragToPage="0" showAll="0" defaultSubtotal="0"/>
    <pivotField dragToRow="0" dragToCol="0" dragToPage="0" showAll="0" defaultSubtotal="0"/>
  </pivotFields>
  <rowFields count="1">
    <field x="7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4"/>
  </colFields>
  <colItems count="1">
    <i>
      <x/>
    </i>
  </colItems>
  <dataFields count="1">
    <dataField name="Summe von Wochenquote" fld="11" baseField="0" baseItem="0" numFmtId="10"/>
  </dataFields>
  <chartFormats count="3"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EAB9CA-17BA-4919-A620-1A0E548AD518}" name="PivotTable4" cacheId="0" applyNumberFormats="0" applyBorderFormats="0" applyFontFormats="0" applyPatternFormats="0" applyAlignmentFormats="0" applyWidthHeightFormats="1" dataCaption="Werte" updatedVersion="8" minRefreshableVersion="3" useAutoFormatting="1" colGrandTotals="0" itemPrintTitles="1" createdVersion="8" indent="0" outline="1" outlineData="1" multipleFieldFilters="0" chartFormat="1">
  <location ref="A3:C16" firstHeaderRow="1" firstDataRow="2" firstDataCol="1" rowPageCount="1" colPageCount="1"/>
  <pivotFields count="13">
    <pivotField numFmtId="165" showAll="0"/>
    <pivotField numFmtId="1" showAll="0"/>
    <pivotField axis="axisRow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axis="axisCol" showAll="0">
      <items count="3">
        <item x="0"/>
        <item x="1"/>
        <item t="default"/>
      </items>
    </pivotField>
    <pivotField showAll="0"/>
    <pivotField dataField="1" showAll="0"/>
    <pivotField showAll="0"/>
    <pivotField dragToRow="0" dragToCol="0" dragToPage="0" showAll="0" defaultSubtotal="0"/>
    <pivotField axis="axisPage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4"/>
  </colFields>
  <colItems count="2">
    <i>
      <x/>
    </i>
    <i>
      <x v="1"/>
    </i>
  </colItems>
  <pageFields count="1">
    <pageField fld="9" hier="-1"/>
  </pageFields>
  <dataFields count="1">
    <dataField name="Summe von Anzahl der Abwesenheitstagen" fld="6" baseField="0" baseItem="0" numFmtId="1"/>
  </dataFields>
  <formats count="1">
    <format dxfId="1">
      <pivotArea outline="0" collapsedLevelsAreSubtotals="1" fieldPosition="0"/>
    </format>
  </format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F6F24C-25AD-4ED0-B45A-B183113E3D50}" name="PivotTable6" cacheId="0" applyNumberFormats="0" applyBorderFormats="0" applyFontFormats="0" applyPatternFormats="0" applyAlignmentFormats="0" applyWidthHeightFormats="1" dataCaption="Werte" updatedVersion="8" minRefreshableVersion="3" useAutoFormatting="1" itemPrintTitles="1" createdVersion="8" indent="0" outline="1" outlineData="1" multipleFieldFilters="0" chartFormat="16">
  <location ref="A4:B12" firstHeaderRow="1" firstDataRow="1" firstDataCol="1" rowPageCount="2" colPageCount="1"/>
  <pivotFields count="13">
    <pivotField numFmtId="165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multipleItemSelectionAllowed="1" showAll="0"/>
    <pivotField showAll="0"/>
    <pivotField axis="axisPage" multipleItemSelectionAllowed="1"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axis="axisRow" multipleItemSelectionAllowed="1"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  <item t="default"/>
      </items>
    </pivotField>
    <pivotField axis="axisPage" multipleItemSelectionAllowed="1" showAll="0">
      <items count="5">
        <item x="1"/>
        <item x="0"/>
        <item x="2"/>
        <item x="3"/>
        <item t="default"/>
      </items>
    </pivotField>
    <pivotField dragToRow="0" dragToCol="0" dragToPage="0" showAll="0" defaultSubtotal="0"/>
    <pivotField dataField="1" dragToRow="0" dragToCol="0" dragToPage="0" showAll="0" defaultSubtotal="0"/>
  </pivotFields>
  <rowFields count="1">
    <field x="9"/>
  </rowFields>
  <rowItems count="8">
    <i>
      <x v="1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pageFields count="2">
    <pageField fld="10" hier="-1"/>
    <pageField fld="3" hier="-1"/>
  </pageFields>
  <dataFields count="1">
    <dataField name="Summe von Krankheitsquote" fld="12" baseField="0" baseItem="0"/>
  </dataFields>
  <formats count="1">
    <format dxfId="0">
      <pivotArea outline="0" collapsedLevelsAreSubtotals="1" fieldPosition="0"/>
    </format>
  </formats>
  <chartFormats count="1"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7E0B941-1355-41AD-9109-176553D14CA5}" name="Feiertage" displayName="Feiertage" ref="A1:D23" totalsRowShown="0">
  <autoFilter ref="A1:D23" xr:uid="{47E0B941-1355-41AD-9109-176553D14CA5}"/>
  <tableColumns count="4">
    <tableColumn id="2" xr3:uid="{ECB1755F-E7A4-4811-8732-0727528A01C4}" name="Feiertag"/>
    <tableColumn id="3" xr3:uid="{ACB0AC8B-ACFA-4DE4-AA5F-8CAE23C99E6A}" name="Datum " dataDxfId="113"/>
    <tableColumn id="1" xr3:uid="{FF4644C6-9C74-4DC4-BD1F-3A48F392E0D4}" name="Tag "/>
    <tableColumn id="4" xr3:uid="{B9A9D633-4710-4014-AABD-639A6E06E1EE}" name="KW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9EFD549-2D24-4034-883B-A6AEAF83936C}" name="DIM_Monat" displayName="DIM_Monat" ref="A1:F8" totalsRowShown="0" headerRowDxfId="112">
  <autoFilter ref="A1:F8" xr:uid="{F8D93CE8-95D3-4C21-99AB-835757EA0ED2}"/>
  <tableColumns count="6">
    <tableColumn id="1" xr3:uid="{C99148D7-1B6C-41FE-9687-00EEA249FF27}" name="Monat_ID" dataDxfId="111"/>
    <tableColumn id="4" xr3:uid="{90D8E4E6-E1F1-4F92-91AF-094093514875}" name="Jahr" dataDxfId="110">
      <calculatedColumnFormula>+YEAR(DIM_Monat[[#This Row],[Monat_ID]])</calculatedColumnFormula>
    </tableColumn>
    <tableColumn id="5" xr3:uid="{1C73B8C3-E382-4705-A41A-9A4D5AD2B13C}" name="Monat" dataDxfId="109">
      <calculatedColumnFormula>DIM_Monat[[#This Row],[Monat_ID]]</calculatedColumnFormula>
    </tableColumn>
    <tableColumn id="2" xr3:uid="{3B927050-8B72-49F0-9B0B-B83933E78193}" name="Monatsanfang" dataDxfId="108">
      <calculatedColumnFormula>EOMONTH(DIM_Monat[[#This Row],[Monat_ID]],-1)+1</calculatedColumnFormula>
    </tableColumn>
    <tableColumn id="3" xr3:uid="{574988DA-9B55-4C4A-B862-33042ACF2168}" name="Monatsende" dataDxfId="107">
      <calculatedColumnFormula>EOMONTH(D2,0)</calculatedColumnFormula>
    </tableColumn>
    <tableColumn id="6" xr3:uid="{B7D3DD97-FFD6-49F5-8D80-32A667FF9DE7}" name="Quartal" dataDxfId="106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D5B5297-C4E9-4EC5-A8A1-258C71E54CCD}" name="DIM_Wochentag" displayName="DIM_Wochentag" ref="A1:B6" totalsRowShown="0" headerRowDxfId="105">
  <autoFilter ref="A1:B6" xr:uid="{7D5B5297-C4E9-4EC5-A8A1-258C71E54CCD}"/>
  <tableColumns count="2">
    <tableColumn id="1" xr3:uid="{EEF5114C-07F9-4F81-A2FD-5719E370F94A}" name="Wochentag_ID"/>
    <tableColumn id="2" xr3:uid="{D1114B3A-6043-4DF2-99A7-8CAFC86CBF6F}" name="Beschreibung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213DB7F-8CFA-4C5A-B4FE-191CC344C3CB}" name="DIM_Mitarbeiter" displayName="DIM_Mitarbeiter" ref="A1:D12" totalsRowShown="0" headerRowDxfId="104" headerRowBorderDxfId="103" tableBorderDxfId="102" totalsRowBorderDxfId="101">
  <autoFilter ref="A1:D12" xr:uid="{C0378533-4C2B-4D66-903B-3CC9AE635CBB}"/>
  <tableColumns count="4">
    <tableColumn id="1" xr3:uid="{729094CC-CED1-44F0-BCCB-A73C20E2A26E}" name="Mitabiter_ID"/>
    <tableColumn id="17" xr3:uid="{68528E8B-A91A-4587-919D-92706B4173B9}" name="Vorname"/>
    <tableColumn id="16" xr3:uid="{084B5619-F332-4EAD-8669-6115BBD21595}" name="Nachname "/>
    <tableColumn id="3" xr3:uid="{B5548209-3EA8-4494-B542-FD8BCC166994}" name="Abteilungscode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57FFBD3-05F0-4967-89F4-CE25536FB4C9}" name="Tabelle3" displayName="Tabelle3" ref="A1:B4" totalsRowShown="0" dataDxfId="100" tableBorderDxfId="99">
  <autoFilter ref="A1:B4" xr:uid="{C57FFBD3-05F0-4967-89F4-CE25536FB4C9}"/>
  <tableColumns count="2">
    <tableColumn id="1" xr3:uid="{DC4863D8-E488-47CE-93BE-F475C7DDCE60}" name="Abteilungscode" dataDxfId="98"/>
    <tableColumn id="2" xr3:uid="{A5A14B4F-72B0-4CC9-B15D-83C518F34370}" name="Abteilungsname" dataDxfId="97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D8AAE09-7A07-4CB8-BD6B-2000A467194D}" name="DIM_Abwesenheitsgrund" displayName="DIM_Abwesenheitsgrund" ref="A1:B3" totalsRowShown="0" tableBorderDxfId="96">
  <autoFilter ref="A1:B3" xr:uid="{90B25784-3F09-4413-8158-CF061795BFB8}"/>
  <tableColumns count="2">
    <tableColumn id="1" xr3:uid="{0AE15767-DD9B-420A-8168-DF87D03F6FE5}" name="Code"/>
    <tableColumn id="2" xr3:uid="{F04A6FE9-504E-4554-A73B-CC451AF346A1}" name="Bescheibung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F9222B-F899-4724-B3CC-03D79F023547}" name="Rohdaten" displayName="Rohdaten" ref="A1:T57" totalsRowCount="1" headerRowDxfId="95" headerRowBorderDxfId="94" tableBorderDxfId="93" totalsRowBorderDxfId="92">
  <autoFilter ref="A1:T56" xr:uid="{FD1DAB36-1D99-44DE-B6BB-561E619D7D68}"/>
  <sortState xmlns:xlrd2="http://schemas.microsoft.com/office/spreadsheetml/2017/richdata2" ref="A2:T56">
    <sortCondition ref="C1:C56"/>
  </sortState>
  <tableColumns count="20">
    <tableColumn id="1" xr3:uid="{52518FB0-6297-4131-A899-1D3746E5A963}" name="Mitarbeiter_ID" totalsRowLabel="Ergebnis" dataDxfId="91" totalsRowDxfId="90"/>
    <tableColumn id="2" xr3:uid="{DD0AC05E-4E68-4D41-AAEF-57BE31BEFF18}" name="Abteilungscode" dataDxfId="89" totalsRowDxfId="88">
      <calculatedColumnFormula>VLOOKUP(A2,DIM_Mitarbeiter!A:D,4,FALSE)</calculatedColumnFormula>
    </tableColumn>
    <tableColumn id="3" xr3:uid="{1FE25B48-D8BA-490A-AA27-2347679E800E}" name="von_Datum" dataDxfId="87" totalsRowDxfId="86"/>
    <tableColumn id="4" xr3:uid="{2F84E02A-1D32-4F72-9599-934F869670FE}" name="bis_Datum" dataDxfId="85" totalsRowDxfId="84"/>
    <tableColumn id="5" xr3:uid="{EE14DEB3-0C03-4F6E-A272-B59863928CEF}" name="Abwesenheitsgrund" dataDxfId="83" totalsRowDxfId="82"/>
    <tableColumn id="6" xr3:uid="{0F63F99E-74F1-4527-9DB0-3EC95B2BDD77}" name="Gesamtabwesenheit" totalsRowFunction="sum" dataDxfId="81" totalsRowDxfId="80">
      <calculatedColumnFormula>+NETWORKDAYS.INTL(C2,D2,1,Feiertage[[Datum ]])</calculatedColumnFormula>
    </tableColumn>
    <tableColumn id="17" xr3:uid="{63A91B0D-789E-417E-8B06-39BB01D6A257}" name="aktueller Monat" dataDxfId="79" totalsRowDxfId="78">
      <calculatedColumnFormula>+NETWORKDAYS.INTL(C2,IF(Rohdaten[[#This Row],[bis_Datum]]&gt;=EOMONTH(Rohdaten[[#This Row],[von_Datum]],0),EOMONTH(Rohdaten[[#This Row],[von_Datum]],0),Rohdaten[[#This Row],[bis_Datum]]),1,Feiertage[[Datum ]])</calculatedColumnFormula>
    </tableColumn>
    <tableColumn id="16" xr3:uid="{EBA40901-4E25-401A-A636-E07F47AD0B5C}" name="nächster Monat" dataDxfId="77" totalsRowDxfId="76">
      <calculatedColumnFormula>+IF(Rohdaten[[#This Row],[Gesamtabwesenheit]]=Rohdaten[[#This Row],[aktueller Monat]],0,NETWORKDAYS.INTL(EOMONTH(Rohdaten[[#This Row],[von_Datum]],0)+1,Rohdaten[[#This Row],[bis_Datum]],1,Feiertage[[Datum ]]))</calculatedColumnFormula>
    </tableColumn>
    <tableColumn id="18" xr3:uid="{762E65EA-5867-4370-A526-34D928ED8655}" name="ersterMonat" dataDxfId="75" totalsRowDxfId="74">
      <calculatedColumnFormula>EOMONTH(Rohdaten[[#This Row],[von_Datum]],-1)+1</calculatedColumnFormula>
    </tableColumn>
    <tableColumn id="10" xr3:uid="{AF606F81-310E-4C5E-B822-ADC848FD4B34}" name="1.Montag" dataDxfId="73" totalsRowDxfId="72">
      <calculatedColumnFormula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calculatedColumnFormula>
    </tableColumn>
    <tableColumn id="20" xr3:uid="{5604E652-89A5-4493-B1D9-91211E28C929}" name="1.Dienstag" dataDxfId="71" totalsRowDxfId="70">
      <calculatedColumnFormula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calculatedColumnFormula>
    </tableColumn>
    <tableColumn id="14" xr3:uid="{943F4B1D-6DDA-46CE-BC98-C8795A1B991B}" name="1.Mittwoch" dataDxfId="69" totalsRowDxfId="68">
      <calculatedColumnFormula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calculatedColumnFormula>
    </tableColumn>
    <tableColumn id="22" xr3:uid="{E1C0D634-88F3-49C0-A7D4-DF95B60D5B3D}" name="1.Donnerstag" dataDxfId="67" totalsRowDxfId="66">
      <calculatedColumnFormula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calculatedColumnFormula>
    </tableColumn>
    <tableColumn id="15" xr3:uid="{A212C1B1-5203-4844-A98E-4F42446CDFE0}" name="1.Freitag" dataDxfId="65" totalsRowDxfId="64">
      <calculatedColumnFormula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calculatedColumnFormula>
    </tableColumn>
    <tableColumn id="19" xr3:uid="{A4A581AB-F407-4010-BB4F-9F8211F4B202}" name="zweiterMonat" dataDxfId="63" totalsRowDxfId="62">
      <calculatedColumnFormula>EOMONTH(Rohdaten[[#This Row],[bis_Datum]],-1)+1</calculatedColumnFormula>
    </tableColumn>
    <tableColumn id="9" xr3:uid="{E43481C7-F4C7-4D4C-88DD-DAD02C531783}" name="2.Montag" dataDxfId="61" totalsRowDxfId="60">
      <calculatedColumnFormula>+IF(Rohdaten[[#This Row],[Gesamtabwesenheit]]&gt;Rohdaten[[#This Row],[aktueller Monat]],NETWORKDAYS.INTL(EOMONTH(Rohdaten[[#This Row],[von_Datum]],0)+1,Rohdaten[[#This Row],[bis_Datum]],"0111111",Feiertage[[Datum ]]),0)</calculatedColumnFormula>
    </tableColumn>
    <tableColumn id="23" xr3:uid="{4686BD5D-5BEC-402D-8E9E-97DA20378287}" name="2.Dienstag" dataDxfId="59" totalsRowDxfId="58">
      <calculatedColumnFormula>+IF(Rohdaten[[#This Row],[Gesamtabwesenheit]]&gt;Rohdaten[[#This Row],[aktueller Monat]],NETWORKDAYS.INTL(EOMONTH(Rohdaten[[#This Row],[von_Datum]],0)+1,Rohdaten[[#This Row],[bis_Datum]],"1011111",Feiertage[[Datum ]]),0)</calculatedColumnFormula>
    </tableColumn>
    <tableColumn id="24" xr3:uid="{FC903A84-AA4B-4DDD-9E09-37257ADE051C}" name="2.Mittwoch" dataDxfId="57" totalsRowDxfId="56">
      <calculatedColumnFormula>+IF(Rohdaten[[#This Row],[Gesamtabwesenheit]]&gt;Rohdaten[[#This Row],[aktueller Monat]],NETWORKDAYS.INTL(EOMONTH(Rohdaten[[#This Row],[von_Datum]],0)+1,Rohdaten[[#This Row],[bis_Datum]],"1101111",Feiertage[[Datum ]]),0)</calculatedColumnFormula>
    </tableColumn>
    <tableColumn id="25" xr3:uid="{043A49D9-4984-4ECD-8497-1D9DB303E1EC}" name="2.Donnerstag" dataDxfId="55" totalsRowDxfId="54">
      <calculatedColumnFormula>+IF(Rohdaten[[#This Row],[Gesamtabwesenheit]]&gt;Rohdaten[[#This Row],[aktueller Monat]],NETWORKDAYS.INTL(EOMONTH(Rohdaten[[#This Row],[von_Datum]],0)+1,Rohdaten[[#This Row],[bis_Datum]],"1110111",Feiertage[[Datum ]]),0)</calculatedColumnFormula>
    </tableColumn>
    <tableColumn id="26" xr3:uid="{FDA3D420-4A21-45B7-A9E6-C4DD0C88D339}" name="2.Freitag" totalsRowFunction="sum" dataDxfId="53" totalsRowDxfId="52">
      <calculatedColumnFormula>+IF(Rohdaten[[#This Row],[Gesamtabwesenheit]]&gt;Rohdaten[[#This Row],[aktueller Monat]],NETWORKDAYS.INTL(EOMONTH(Rohdaten[[#This Row],[von_Datum]],0)+1,Rohdaten[[#This Row],[bis_Datum]],"1111011",Feiertage[[Datum ]]),0)</calculatedColumnFormula>
    </tableColumn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202FA3C-829D-400C-834D-308C52668DFE}" name="PSFT" displayName="PSFT" ref="A1:G772" totalsRowCount="1" headerRowDxfId="51" dataDxfId="50">
  <autoFilter ref="A1:G771" xr:uid="{B63A46DD-42F3-4529-888C-00C33DE85991}"/>
  <sortState xmlns:xlrd2="http://schemas.microsoft.com/office/spreadsheetml/2017/richdata2" ref="A2:G771">
    <sortCondition ref="A1:A771"/>
  </sortState>
  <tableColumns count="7">
    <tableColumn id="1" xr3:uid="{D26B0B18-CA6C-473A-88E4-A0A7ADF13305}" name="Monat_ID" totalsRowLabel="Ergebnis" dataDxfId="49"/>
    <tableColumn id="9" xr3:uid="{D4497B1A-883C-4BD9-9888-DFC81569BEBB}" name="Wochentag_Id" dataDxfId="48" totalsRowDxfId="47"/>
    <tableColumn id="2" xr3:uid="{68B4D5C7-0779-48A9-A78D-2D3A5F6C7E8E}" name="Mitarbiter_ID" dataDxfId="46"/>
    <tableColumn id="3" xr3:uid="{5CD71C82-8D6E-4D36-AF37-215D75F6F3FA}" name="Abteilungscode" dataDxfId="45">
      <calculatedColumnFormula>+VLOOKUP(C2,DIM_Mitarbeiter!A:D,4,0)</calculatedColumnFormula>
    </tableColumn>
    <tableColumn id="4" xr3:uid="{6876A85D-BF7C-42FE-95DB-C4DFBCBC21E8}" name="Abwesenheitsgrund" dataDxfId="44"/>
    <tableColumn id="5" xr3:uid="{0C1B0B82-6BBD-4A42-9104-9D4321DC2E60}" name="Sollarbeitstage" totalsRowFunction="sum" dataDxfId="43">
      <calculatedColumnFormula array="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calculatedColumnFormula>
    </tableColumn>
    <tableColumn id="7" xr3:uid="{8708BE15-8384-41AB-91D1-5C950A131835}" name="Anzahl der Abwesenheitstagen" totalsRowFunction="sum" dataDxfId="42" totalsRowDxfId="41">
      <calculatedColumnFormula array="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AC67502-13DA-4E3C-84C7-0B806B4A2CF6}" name="TFT" displayName="TFT" ref="A1:F56" totalsRowShown="0" headerRowDxfId="40" dataDxfId="39" totalsRowDxfId="38">
  <autoFilter ref="A1:F56" xr:uid="{9AC67502-13DA-4E3C-84C7-0B806B4A2CF6}"/>
  <tableColumns count="6">
    <tableColumn id="1" xr3:uid="{2D33622C-A6D5-4885-8CA9-7A369487C130}" name="TFT_Id" dataDxfId="37" totalsRowDxfId="36"/>
    <tableColumn id="7" xr3:uid="{A9A6A2A2-C162-47C5-BE38-F0949BD7E2FB}" name="Erster Arbeitstag nach der Abwesenheit" dataDxfId="35" totalsRowDxfId="34">
      <calculatedColumnFormula>+WORKDAY.INTL(Rohdaten[[#This Row],[bis_Datum]],1,1,Feiertage[[Datum ]])</calculatedColumnFormula>
    </tableColumn>
    <tableColumn id="3" xr3:uid="{F9B5550A-8015-4452-A087-E6E5ACC47921}" name="Mitarbeiter_ID" dataDxfId="33" totalsRowDxfId="32">
      <calculatedColumnFormula>Rohdaten[[#This Row],[Mitarbeiter_ID]]</calculatedColumnFormula>
    </tableColumn>
    <tableColumn id="2" xr3:uid="{B0764B5B-0260-4274-9DAB-876176DABD3B}" name="Abteilungscode" dataDxfId="31" totalsRowDxfId="30">
      <calculatedColumnFormula>Rohdaten[[#This Row],[Abteilungscode]]</calculatedColumnFormula>
    </tableColumn>
    <tableColumn id="5" xr3:uid="{ECD7C244-DAEE-4F60-AE51-704642740FC9}" name="Abwesenheitsgrund" dataDxfId="29" totalsRowDxfId="28">
      <calculatedColumnFormula>Rohdaten[[#This Row],[Abwesenheitsgrund]]</calculatedColumnFormula>
    </tableColumn>
    <tableColumn id="6" xr3:uid="{684E85FF-58BA-4DD7-B92D-4ED1383935C3}" name="Gesamtabwesenheit" dataDxfId="27" totalsRowDxfId="26">
      <calculatedColumnFormula>Rohdaten[[#This Row],[Gesamtabwesenheit]]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8449E7B-F1DC-4B29-96F1-2A5C6CC0CAFE}" name="ASFT" displayName="ASFT" ref="A1:K56" totalsRowShown="0">
  <autoFilter ref="A1:K56" xr:uid="{68449E7B-F1DC-4B29-96F1-2A5C6CC0CAFE}"/>
  <tableColumns count="11">
    <tableColumn id="1" xr3:uid="{A061A2CC-1D9A-40EE-89F8-8D3B200592A6}" name="ASFT_ID"/>
    <tableColumn id="2" xr3:uid="{5C9950A3-7EE2-4F4A-8532-61F308A7B620}" name="ab hier FK" dataDxfId="25"/>
    <tableColumn id="3" xr3:uid="{D255B850-70D3-45BE-8BBB-EB06BEA35985}" name="von_Datum" dataDxfId="24">
      <calculatedColumnFormula>Rohdaten[[#This Row],[von_Datum]]</calculatedColumnFormula>
    </tableColumn>
    <tableColumn id="4" xr3:uid="{4EAAB085-2BE3-4E78-9CB6-F54E39F56753}" name="bis_Datum" dataDxfId="23">
      <calculatedColumnFormula>Rohdaten[[#This Row],[bis_Datum]]</calculatedColumnFormula>
    </tableColumn>
    <tableColumn id="5" xr3:uid="{B7B164FA-2C1D-40A2-AEFC-648A6986A746}" name="Mitarbeitercode" dataDxfId="22">
      <calculatedColumnFormula>Rohdaten[[#This Row],[Mitarbeiter_ID]]</calculatedColumnFormula>
    </tableColumn>
    <tableColumn id="6" xr3:uid="{A1067631-B0D5-40DA-B02A-00031B333E4C}" name="Abteilungscode" dataDxfId="21">
      <calculatedColumnFormula>VLOOKUP(ASFT[[#This Row],[Mitarbeitercode]],DIM_Mitarbeiter[],4,FALSE)</calculatedColumnFormula>
    </tableColumn>
    <tableColumn id="7" xr3:uid="{889AB7FF-A421-4301-93AA-DA626847544B}" name="Abwesenheitsgrund" dataDxfId="20">
      <calculatedColumnFormula>Rohdaten[[#This Row],[Abwesenheitsgrund]]</calculatedColumnFormula>
    </tableColumn>
    <tableColumn id="8" xr3:uid="{3DAF81A8-3DC6-4D6F-8B54-1C1444D25205}" name="ab hier Fakten" dataDxfId="19"/>
    <tableColumn id="9" xr3:uid="{73F2D22E-BB9F-41A5-B131-953EFD953DDA}" name="Dauer_Abwesenheit_Tage" dataDxfId="18">
      <calculatedColumnFormula>NETWORKDAYS.INTL(ASFT[[#This Row],[von_Datum]],ASFT[[#This Row],[bis_Datum]],1,Feiertage[[Datum ]])</calculatedColumnFormula>
    </tableColumn>
    <tableColumn id="10" xr3:uid="{0C838185-6A64-40A6-A236-141CB6F834D6}" name="Abwesenheiten_Montage" dataDxfId="17">
      <calculatedColumnFormula>NETWORKDAYS.INTL(ASFT[[#This Row],[von_Datum]],ASFT[[#This Row],[bis_Datum]],"0111111",Feiertage[[Datum ]])</calculatedColumnFormula>
    </tableColumn>
    <tableColumn id="13" xr3:uid="{5FDA99A2-E27E-487B-98E9-F0EB8572955A}" name="Abwesenheiten_NichtMontag" dataDxfId="16">
      <calculatedColumnFormula>ASFT[[#This Row],[Dauer_Abwesenheit_Tage]]-ASFT[[#This Row],[Abwesenheiten_Montage]]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644FD68-C68C-48B7-AE25-24CFBFF223AA}" name="Tabelle11" displayName="Tabelle11" ref="A26:D28" totalsRowShown="0" headerRowDxfId="15" dataDxfId="14" tableBorderDxfId="13">
  <tableColumns count="4">
    <tableColumn id="1" xr3:uid="{C4E03772-086C-4AD0-816E-9C68FCFA4834}" name="Field" dataDxfId="12"/>
    <tableColumn id="2" xr3:uid="{7D9364C3-FD43-448C-93D0-27A9DF09785F}" name="Type" dataDxfId="11"/>
    <tableColumn id="3" xr3:uid="{1B4A24DD-1056-455D-9382-7744DF8C5FA5}" name="Spec." dataDxfId="10"/>
    <tableColumn id="4" xr3:uid="{00889747-1485-4240-98FE-A11F46180309}" name="Decription" dataDxfId="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C84558C-A768-4C62-A616-D315E8269112}" name="Tabelle12" displayName="Tabelle12" ref="A20:D22" totalsRowShown="0" headerRowDxfId="8" dataDxfId="7" tableBorderDxfId="6">
  <tableColumns count="4">
    <tableColumn id="1" xr3:uid="{3E122687-179E-46A2-883E-1DE1B388C669}" name="Field" dataDxfId="5"/>
    <tableColumn id="2" xr3:uid="{A81C18AC-095F-4239-AD0F-AB5D6F49BDEA}" name="Type" dataDxfId="4"/>
    <tableColumn id="3" xr3:uid="{EE9E4EF6-48F4-4248-AE9C-D6E572125F5D}" name="Spec." dataDxfId="3"/>
    <tableColumn id="4" xr3:uid="{E3EAD1CF-EA4D-49AC-AA4E-A44BFB7D0634}" name="Description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schulferien.org/deutschland/feiertage/tag-der-deutschen-einheit/" TargetMode="External"/><Relationship Id="rId3" Type="http://schemas.openxmlformats.org/officeDocument/2006/relationships/hyperlink" Target="https://www.schulferien.org/deutschland/feiertage/ostermontag/" TargetMode="External"/><Relationship Id="rId7" Type="http://schemas.openxmlformats.org/officeDocument/2006/relationships/hyperlink" Target="https://www.schulferien.org/deutschland/feiertage/fronleichnam/" TargetMode="External"/><Relationship Id="rId12" Type="http://schemas.openxmlformats.org/officeDocument/2006/relationships/table" Target="../tables/table1.xml"/><Relationship Id="rId2" Type="http://schemas.openxmlformats.org/officeDocument/2006/relationships/hyperlink" Target="https://www.schulferien.org/deutschland/feiertage/karfreitag/" TargetMode="External"/><Relationship Id="rId1" Type="http://schemas.openxmlformats.org/officeDocument/2006/relationships/hyperlink" Target="https://www.schulferien.org/deutschland/feiertage/neujahr/" TargetMode="External"/><Relationship Id="rId6" Type="http://schemas.openxmlformats.org/officeDocument/2006/relationships/hyperlink" Target="https://www.schulferien.org/deutschland/feiertage/pfingstmontag/" TargetMode="External"/><Relationship Id="rId11" Type="http://schemas.openxmlformats.org/officeDocument/2006/relationships/hyperlink" Target="https://www.schulferien.org/deutschland/feiertage/2weihnachtstag/" TargetMode="External"/><Relationship Id="rId5" Type="http://schemas.openxmlformats.org/officeDocument/2006/relationships/hyperlink" Target="https://www.schulferien.org/deutschland/feiertage/christi-himmelfahrt/" TargetMode="External"/><Relationship Id="rId10" Type="http://schemas.openxmlformats.org/officeDocument/2006/relationships/hyperlink" Target="https://www.schulferien.org/deutschland/feiertage/1weihnachtstag/" TargetMode="External"/><Relationship Id="rId4" Type="http://schemas.openxmlformats.org/officeDocument/2006/relationships/hyperlink" Target="https://www.schulferien.org/deutschland/feiertage/tag-der-arbeit/" TargetMode="External"/><Relationship Id="rId9" Type="http://schemas.openxmlformats.org/officeDocument/2006/relationships/hyperlink" Target="https://www.schulferien.org/deutschland/feiertage/allerheiligen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.xml"/><Relationship Id="rId4" Type="http://schemas.openxmlformats.org/officeDocument/2006/relationships/comments" Target="../comments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2.xml"/><Relationship Id="rId4" Type="http://schemas.openxmlformats.org/officeDocument/2006/relationships/comments" Target="../comments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84DF8-465F-40CD-BC20-893F94E17161}">
  <sheetPr codeName="Tabelle1">
    <tabColor rgb="FFBFBFBF"/>
  </sheetPr>
  <dimension ref="A1:H23"/>
  <sheetViews>
    <sheetView workbookViewId="0">
      <selection activeCell="B10" sqref="B10"/>
    </sheetView>
  </sheetViews>
  <sheetFormatPr baseColWidth="10" defaultColWidth="11.44140625" defaultRowHeight="14.4" x14ac:dyDescent="0.3"/>
  <cols>
    <col min="1" max="1" width="21.33203125" bestFit="1" customWidth="1"/>
    <col min="8" max="8" width="17.109375" customWidth="1"/>
  </cols>
  <sheetData>
    <row r="1" spans="1:8" x14ac:dyDescent="0.3">
      <c r="A1" t="s">
        <v>0</v>
      </c>
      <c r="B1" t="s">
        <v>1</v>
      </c>
      <c r="C1" t="s">
        <v>2</v>
      </c>
      <c r="D1" t="s">
        <v>3</v>
      </c>
    </row>
    <row r="2" spans="1:8" x14ac:dyDescent="0.3">
      <c r="A2" t="s">
        <v>4</v>
      </c>
      <c r="B2" s="3">
        <v>44562</v>
      </c>
      <c r="C2" t="s">
        <v>5</v>
      </c>
      <c r="D2">
        <v>1</v>
      </c>
      <c r="F2" s="113" t="s">
        <v>6</v>
      </c>
      <c r="G2" s="113"/>
      <c r="H2" s="113"/>
    </row>
    <row r="3" spans="1:8" x14ac:dyDescent="0.3">
      <c r="A3" t="s">
        <v>7</v>
      </c>
      <c r="B3" s="3">
        <v>44666</v>
      </c>
      <c r="C3" t="s">
        <v>8</v>
      </c>
      <c r="D3">
        <v>16</v>
      </c>
      <c r="F3" s="113"/>
      <c r="G3" s="113"/>
      <c r="H3" s="113"/>
    </row>
    <row r="4" spans="1:8" x14ac:dyDescent="0.3">
      <c r="A4" t="s">
        <v>9</v>
      </c>
      <c r="B4" s="3">
        <v>44669</v>
      </c>
      <c r="C4" t="s">
        <v>10</v>
      </c>
      <c r="D4">
        <v>17</v>
      </c>
    </row>
    <row r="5" spans="1:8" x14ac:dyDescent="0.3">
      <c r="A5" t="s">
        <v>11</v>
      </c>
      <c r="B5" s="3">
        <v>44682</v>
      </c>
      <c r="C5" t="s">
        <v>12</v>
      </c>
      <c r="D5">
        <v>19</v>
      </c>
    </row>
    <row r="6" spans="1:8" x14ac:dyDescent="0.3">
      <c r="A6" t="s">
        <v>13</v>
      </c>
      <c r="B6" s="3">
        <v>44707</v>
      </c>
      <c r="C6" t="s">
        <v>14</v>
      </c>
      <c r="D6">
        <v>22</v>
      </c>
    </row>
    <row r="7" spans="1:8" x14ac:dyDescent="0.3">
      <c r="A7" t="s">
        <v>15</v>
      </c>
      <c r="B7" s="3">
        <v>44718</v>
      </c>
      <c r="C7" t="s">
        <v>10</v>
      </c>
      <c r="D7">
        <v>24</v>
      </c>
    </row>
    <row r="8" spans="1:8" x14ac:dyDescent="0.3">
      <c r="A8" t="s">
        <v>16</v>
      </c>
      <c r="B8" s="3">
        <v>44728</v>
      </c>
      <c r="C8" t="s">
        <v>14</v>
      </c>
      <c r="D8">
        <v>25</v>
      </c>
    </row>
    <row r="9" spans="1:8" x14ac:dyDescent="0.3">
      <c r="A9" t="s">
        <v>17</v>
      </c>
      <c r="B9" s="3">
        <v>44837</v>
      </c>
      <c r="C9" t="s">
        <v>10</v>
      </c>
      <c r="D9">
        <v>41</v>
      </c>
    </row>
    <row r="10" spans="1:8" x14ac:dyDescent="0.3">
      <c r="A10" t="s">
        <v>18</v>
      </c>
      <c r="B10" s="3">
        <v>44866</v>
      </c>
      <c r="C10" t="s">
        <v>19</v>
      </c>
      <c r="D10">
        <v>45</v>
      </c>
    </row>
    <row r="11" spans="1:8" x14ac:dyDescent="0.3">
      <c r="A11" t="s">
        <v>20</v>
      </c>
      <c r="B11" s="3">
        <v>44920</v>
      </c>
      <c r="C11" t="s">
        <v>12</v>
      </c>
      <c r="D11">
        <v>53</v>
      </c>
    </row>
    <row r="12" spans="1:8" x14ac:dyDescent="0.3">
      <c r="A12" t="s">
        <v>21</v>
      </c>
      <c r="B12" s="3">
        <v>44921</v>
      </c>
      <c r="C12" t="s">
        <v>10</v>
      </c>
      <c r="D12">
        <v>53</v>
      </c>
    </row>
    <row r="13" spans="1:8" x14ac:dyDescent="0.3">
      <c r="A13" s="32" t="s">
        <v>4</v>
      </c>
      <c r="B13" s="3">
        <v>44927</v>
      </c>
      <c r="C13" s="31" t="s">
        <v>12</v>
      </c>
      <c r="D13">
        <v>52</v>
      </c>
    </row>
    <row r="14" spans="1:8" x14ac:dyDescent="0.3">
      <c r="A14" s="32" t="s">
        <v>7</v>
      </c>
      <c r="B14" s="3">
        <v>45023</v>
      </c>
      <c r="C14" s="31" t="s">
        <v>8</v>
      </c>
      <c r="D14">
        <v>14</v>
      </c>
    </row>
    <row r="15" spans="1:8" x14ac:dyDescent="0.3">
      <c r="A15" s="32" t="s">
        <v>9</v>
      </c>
      <c r="B15" s="3">
        <v>45026</v>
      </c>
      <c r="C15" s="31" t="s">
        <v>10</v>
      </c>
      <c r="D15">
        <v>15</v>
      </c>
    </row>
    <row r="16" spans="1:8" x14ac:dyDescent="0.3">
      <c r="A16" s="32" t="s">
        <v>11</v>
      </c>
      <c r="B16" s="3">
        <v>45047</v>
      </c>
      <c r="C16" s="31" t="s">
        <v>10</v>
      </c>
      <c r="D16">
        <v>18</v>
      </c>
    </row>
    <row r="17" spans="1:4" x14ac:dyDescent="0.3">
      <c r="A17" s="32" t="s">
        <v>13</v>
      </c>
      <c r="B17" s="3">
        <v>45064</v>
      </c>
      <c r="C17" s="31" t="s">
        <v>22</v>
      </c>
      <c r="D17">
        <v>20</v>
      </c>
    </row>
    <row r="18" spans="1:4" x14ac:dyDescent="0.3">
      <c r="A18" s="32" t="s">
        <v>15</v>
      </c>
      <c r="B18" s="3">
        <v>45075</v>
      </c>
      <c r="C18" s="31" t="s">
        <v>10</v>
      </c>
      <c r="D18">
        <v>22</v>
      </c>
    </row>
    <row r="19" spans="1:4" x14ac:dyDescent="0.3">
      <c r="A19" s="32" t="s">
        <v>16</v>
      </c>
      <c r="B19" s="3">
        <v>45085</v>
      </c>
      <c r="C19" s="31" t="s">
        <v>22</v>
      </c>
      <c r="D19">
        <v>23</v>
      </c>
    </row>
    <row r="20" spans="1:4" x14ac:dyDescent="0.3">
      <c r="A20" s="32" t="s">
        <v>17</v>
      </c>
      <c r="B20" s="3">
        <v>45202</v>
      </c>
      <c r="C20" s="31" t="s">
        <v>19</v>
      </c>
      <c r="D20">
        <v>40</v>
      </c>
    </row>
    <row r="21" spans="1:4" x14ac:dyDescent="0.3">
      <c r="A21" s="32" t="s">
        <v>18</v>
      </c>
      <c r="B21" s="3">
        <v>45231</v>
      </c>
      <c r="C21" s="31" t="s">
        <v>23</v>
      </c>
      <c r="D21">
        <v>44</v>
      </c>
    </row>
    <row r="22" spans="1:4" x14ac:dyDescent="0.3">
      <c r="A22" s="32" t="s">
        <v>24</v>
      </c>
      <c r="B22" s="3">
        <v>45285</v>
      </c>
      <c r="C22" s="31" t="s">
        <v>25</v>
      </c>
      <c r="D22">
        <v>52</v>
      </c>
    </row>
    <row r="23" spans="1:4" x14ac:dyDescent="0.3">
      <c r="A23" s="32" t="s">
        <v>26</v>
      </c>
      <c r="B23" s="3">
        <v>45286</v>
      </c>
      <c r="C23" s="31" t="s">
        <v>19</v>
      </c>
      <c r="D23">
        <v>52</v>
      </c>
    </row>
  </sheetData>
  <mergeCells count="1">
    <mergeCell ref="F2:H3"/>
  </mergeCells>
  <hyperlinks>
    <hyperlink ref="A13" r:id="rId1" display="https://www.schulferien.org/deutschland/feiertage/neujahr/" xr:uid="{2F8D621A-EF3D-42B3-B9F8-CFF8160B829D}"/>
    <hyperlink ref="A14" r:id="rId2" display="https://www.schulferien.org/deutschland/feiertage/karfreitag/" xr:uid="{7748B510-36F1-498F-A3C6-4383952FA512}"/>
    <hyperlink ref="A15" r:id="rId3" display="https://www.schulferien.org/deutschland/feiertage/ostermontag/" xr:uid="{62FFECDF-2AD1-4319-B3DA-9FB338A2BCA9}"/>
    <hyperlink ref="A16" r:id="rId4" display="https://www.schulferien.org/deutschland/feiertage/tag-der-arbeit/" xr:uid="{58107633-3050-44B3-A2E5-88C4D28FE45C}"/>
    <hyperlink ref="A17" r:id="rId5" display="https://www.schulferien.org/deutschland/feiertage/christi-himmelfahrt/" xr:uid="{DA3B7D29-B509-4E4E-ADD0-AA43326E57C1}"/>
    <hyperlink ref="A18" r:id="rId6" display="https://www.schulferien.org/deutschland/feiertage/pfingstmontag/" xr:uid="{1303FF50-2CE9-4850-80E8-541435FD8390}"/>
    <hyperlink ref="A19" r:id="rId7" display="https://www.schulferien.org/deutschland/feiertage/fronleichnam/" xr:uid="{3FA5E744-26FB-4672-B559-00AB4851188F}"/>
    <hyperlink ref="A20" r:id="rId8" display="https://www.schulferien.org/deutschland/feiertage/tag-der-deutschen-einheit/" xr:uid="{DD474DA1-29D9-4FEE-992A-3FE3D3FB3CAD}"/>
    <hyperlink ref="A21" r:id="rId9" display="https://www.schulferien.org/deutschland/feiertage/allerheiligen/" xr:uid="{D42B5DCF-0D9B-486A-84AE-C025AB7E978F}"/>
    <hyperlink ref="A22" r:id="rId10" display="https://www.schulferien.org/deutschland/feiertage/1weihnachtstag/" xr:uid="{A87D1AFE-5DB1-4CFC-8FBC-7233C0FF8B22}"/>
    <hyperlink ref="A23" r:id="rId11" display="https://www.schulferien.org/deutschland/feiertage/2weihnachtstag/" xr:uid="{E7C238BA-1F30-4414-A956-40CD4556FA00}"/>
  </hyperlinks>
  <pageMargins left="0.7" right="0.7" top="0.78740157499999996" bottom="0.78740157499999996" header="0.3" footer="0.3"/>
  <tableParts count="1"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93CE8-95D3-4C21-99AB-835757EA0ED2}">
  <sheetPr codeName="Tabelle2">
    <tabColor theme="4" tint="-0.249977111117893"/>
  </sheetPr>
  <dimension ref="A1:F13"/>
  <sheetViews>
    <sheetView workbookViewId="0">
      <selection activeCell="A8" sqref="A8"/>
    </sheetView>
  </sheetViews>
  <sheetFormatPr baseColWidth="10" defaultColWidth="11.44140625" defaultRowHeight="14.4" x14ac:dyDescent="0.3"/>
  <cols>
    <col min="4" max="4" width="18.33203125" customWidth="1"/>
    <col min="5" max="5" width="16.44140625" customWidth="1"/>
  </cols>
  <sheetData>
    <row r="1" spans="1:6" x14ac:dyDescent="0.3">
      <c r="A1" s="7" t="s">
        <v>27</v>
      </c>
      <c r="B1" s="6" t="s">
        <v>28</v>
      </c>
      <c r="C1" s="6" t="s">
        <v>29</v>
      </c>
      <c r="D1" s="6" t="s">
        <v>30</v>
      </c>
      <c r="E1" s="6" t="s">
        <v>31</v>
      </c>
      <c r="F1" s="6" t="s">
        <v>278</v>
      </c>
    </row>
    <row r="2" spans="1:6" x14ac:dyDescent="0.3">
      <c r="A2" s="8">
        <v>44743</v>
      </c>
      <c r="B2">
        <f>+YEAR(DIM_Monat[[#This Row],[Monat_ID]])</f>
        <v>2022</v>
      </c>
      <c r="C2" s="24">
        <f>DIM_Monat[[#This Row],[Monat_ID]]</f>
        <v>44743</v>
      </c>
      <c r="D2" s="3">
        <f>EOMONTH(DIM_Monat[[#This Row],[Monat_ID]],-1)+1</f>
        <v>44743</v>
      </c>
      <c r="E2" s="3">
        <f t="shared" ref="E2:E7" si="0">EOMONTH(D2,0)</f>
        <v>44773</v>
      </c>
      <c r="F2" s="37">
        <v>3</v>
      </c>
    </row>
    <row r="3" spans="1:6" x14ac:dyDescent="0.3">
      <c r="A3" s="8">
        <v>44774</v>
      </c>
      <c r="B3">
        <f>+YEAR(DIM_Monat[[#This Row],[Monat_ID]])</f>
        <v>2022</v>
      </c>
      <c r="C3" s="24">
        <f>DIM_Monat[[#This Row],[Monat_ID]]</f>
        <v>44774</v>
      </c>
      <c r="D3" s="3">
        <f>EOMONTH(DIM_Monat[[#This Row],[Monat_ID]],-1)+1</f>
        <v>44774</v>
      </c>
      <c r="E3" s="3">
        <f t="shared" si="0"/>
        <v>44804</v>
      </c>
      <c r="F3" s="37">
        <v>3</v>
      </c>
    </row>
    <row r="4" spans="1:6" x14ac:dyDescent="0.3">
      <c r="A4" s="8">
        <v>44805</v>
      </c>
      <c r="B4">
        <f>+YEAR(DIM_Monat[[#This Row],[Monat_ID]])</f>
        <v>2022</v>
      </c>
      <c r="C4" s="24">
        <f>DIM_Monat[[#This Row],[Monat_ID]]</f>
        <v>44805</v>
      </c>
      <c r="D4" s="3">
        <f>EOMONTH(DIM_Monat[[#This Row],[Monat_ID]],-1)+1</f>
        <v>44805</v>
      </c>
      <c r="E4" s="3">
        <f t="shared" si="0"/>
        <v>44834</v>
      </c>
      <c r="F4" s="37">
        <v>3</v>
      </c>
    </row>
    <row r="5" spans="1:6" x14ac:dyDescent="0.3">
      <c r="A5" s="8">
        <v>44835</v>
      </c>
      <c r="B5">
        <f>+YEAR(DIM_Monat[[#This Row],[Monat_ID]])</f>
        <v>2022</v>
      </c>
      <c r="C5" s="24">
        <f>DIM_Monat[[#This Row],[Monat_ID]]</f>
        <v>44835</v>
      </c>
      <c r="D5" s="3">
        <f>EOMONTH(DIM_Monat[[#This Row],[Monat_ID]],-1)+1</f>
        <v>44835</v>
      </c>
      <c r="E5" s="3">
        <f t="shared" si="0"/>
        <v>44865</v>
      </c>
      <c r="F5" s="37">
        <v>4</v>
      </c>
    </row>
    <row r="6" spans="1:6" x14ac:dyDescent="0.3">
      <c r="A6" s="8">
        <v>44866</v>
      </c>
      <c r="B6">
        <f>+YEAR(DIM_Monat[[#This Row],[Monat_ID]])</f>
        <v>2022</v>
      </c>
      <c r="C6" s="24">
        <f>DIM_Monat[[#This Row],[Monat_ID]]</f>
        <v>44866</v>
      </c>
      <c r="D6" s="3">
        <f>EOMONTH(DIM_Monat[[#This Row],[Monat_ID]],-1)+1</f>
        <v>44866</v>
      </c>
      <c r="E6" s="3">
        <f t="shared" si="0"/>
        <v>44895</v>
      </c>
      <c r="F6" s="37">
        <v>4</v>
      </c>
    </row>
    <row r="7" spans="1:6" x14ac:dyDescent="0.3">
      <c r="A7" s="8">
        <v>44896</v>
      </c>
      <c r="B7">
        <f>+YEAR(DIM_Monat[[#This Row],[Monat_ID]])</f>
        <v>2022</v>
      </c>
      <c r="C7" s="24">
        <f>DIM_Monat[[#This Row],[Monat_ID]]</f>
        <v>44896</v>
      </c>
      <c r="D7" s="3">
        <f>EOMONTH(DIM_Monat[[#This Row],[Monat_ID]],-1)+1</f>
        <v>44896</v>
      </c>
      <c r="E7" s="3">
        <f t="shared" si="0"/>
        <v>44926</v>
      </c>
      <c r="F7" s="37">
        <v>4</v>
      </c>
    </row>
    <row r="8" spans="1:6" x14ac:dyDescent="0.3">
      <c r="A8" s="8">
        <v>44927</v>
      </c>
      <c r="B8" s="37">
        <f>+YEAR(DIM_Monat[[#This Row],[Monat_ID]])</f>
        <v>2023</v>
      </c>
      <c r="C8" s="24">
        <f>DIM_Monat[[#This Row],[Monat_ID]]</f>
        <v>44927</v>
      </c>
      <c r="D8" s="3">
        <f>EOMONTH(DIM_Monat[[#This Row],[Monat_ID]],-1)+1</f>
        <v>44927</v>
      </c>
      <c r="E8" s="3">
        <f>EOMONTH(D8,0)</f>
        <v>44957</v>
      </c>
      <c r="F8" s="37">
        <v>1</v>
      </c>
    </row>
    <row r="9" spans="1:6" x14ac:dyDescent="0.3">
      <c r="D9" s="5"/>
    </row>
    <row r="10" spans="1:6" x14ac:dyDescent="0.3">
      <c r="D10" s="5"/>
    </row>
    <row r="11" spans="1:6" x14ac:dyDescent="0.3">
      <c r="D11" s="5"/>
    </row>
    <row r="12" spans="1:6" x14ac:dyDescent="0.3">
      <c r="D12" s="5"/>
    </row>
    <row r="13" spans="1:6" x14ac:dyDescent="0.3">
      <c r="D13" s="5"/>
    </row>
  </sheetData>
  <phoneticPr fontId="3" type="noConversion"/>
  <pageMargins left="0.7" right="0.7" top="0.78740157499999996" bottom="0.78740157499999996" header="0.3" footer="0.3"/>
  <pageSetup paperSize="9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CB919-698A-4E4E-8989-DDB8A9C3B825}">
  <sheetPr codeName="Tabelle3">
    <tabColor theme="4" tint="-0.249977111117893"/>
  </sheetPr>
  <dimension ref="A1:B6"/>
  <sheetViews>
    <sheetView workbookViewId="0">
      <selection activeCell="C5" sqref="C5"/>
    </sheetView>
  </sheetViews>
  <sheetFormatPr baseColWidth="10" defaultColWidth="11.44140625" defaultRowHeight="14.4" x14ac:dyDescent="0.3"/>
  <cols>
    <col min="1" max="1" width="16.109375" customWidth="1"/>
    <col min="2" max="2" width="13.33203125" customWidth="1"/>
  </cols>
  <sheetData>
    <row r="1" spans="1:2" x14ac:dyDescent="0.3">
      <c r="A1" s="7" t="s">
        <v>32</v>
      </c>
      <c r="B1" s="6" t="s">
        <v>33</v>
      </c>
    </row>
    <row r="2" spans="1:2" x14ac:dyDescent="0.3">
      <c r="A2">
        <v>1</v>
      </c>
      <c r="B2" t="s">
        <v>10</v>
      </c>
    </row>
    <row r="3" spans="1:2" x14ac:dyDescent="0.3">
      <c r="A3">
        <v>2</v>
      </c>
      <c r="B3" t="s">
        <v>19</v>
      </c>
    </row>
    <row r="4" spans="1:2" x14ac:dyDescent="0.3">
      <c r="A4">
        <v>3</v>
      </c>
      <c r="B4" t="s">
        <v>34</v>
      </c>
    </row>
    <row r="5" spans="1:2" x14ac:dyDescent="0.3">
      <c r="A5">
        <v>4</v>
      </c>
      <c r="B5" t="s">
        <v>14</v>
      </c>
    </row>
    <row r="6" spans="1:2" x14ac:dyDescent="0.3">
      <c r="A6">
        <v>5</v>
      </c>
      <c r="B6" t="s">
        <v>8</v>
      </c>
    </row>
  </sheetData>
  <phoneticPr fontId="3" type="noConversion"/>
  <pageMargins left="0.7" right="0.7" top="0.78740157499999996" bottom="0.78740157499999996" header="0.3" footer="0.3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DC612-C359-4596-9DA3-6AD8299B0671}">
  <sheetPr codeName="Tabelle4">
    <tabColor theme="4" tint="-0.249977111117893"/>
  </sheetPr>
  <dimension ref="A1:D12"/>
  <sheetViews>
    <sheetView workbookViewId="0">
      <selection activeCell="B10" sqref="B10"/>
    </sheetView>
  </sheetViews>
  <sheetFormatPr baseColWidth="10" defaultColWidth="11.44140625" defaultRowHeight="14.4" x14ac:dyDescent="0.3"/>
  <cols>
    <col min="1" max="1" width="14" customWidth="1"/>
    <col min="4" max="4" width="14.88671875" bestFit="1" customWidth="1"/>
  </cols>
  <sheetData>
    <row r="1" spans="1:4" x14ac:dyDescent="0.3">
      <c r="A1" s="23" t="s">
        <v>35</v>
      </c>
      <c r="B1" s="6" t="s">
        <v>36</v>
      </c>
      <c r="C1" s="6" t="s">
        <v>37</v>
      </c>
      <c r="D1" s="29" t="s">
        <v>38</v>
      </c>
    </row>
    <row r="2" spans="1:4" x14ac:dyDescent="0.3">
      <c r="A2" t="s">
        <v>39</v>
      </c>
      <c r="B2" t="s">
        <v>40</v>
      </c>
      <c r="C2" t="s">
        <v>41</v>
      </c>
      <c r="D2" t="s">
        <v>42</v>
      </c>
    </row>
    <row r="3" spans="1:4" x14ac:dyDescent="0.3">
      <c r="A3" t="s">
        <v>43</v>
      </c>
      <c r="B3" t="s">
        <v>44</v>
      </c>
      <c r="C3" t="s">
        <v>45</v>
      </c>
      <c r="D3" t="s">
        <v>42</v>
      </c>
    </row>
    <row r="4" spans="1:4" x14ac:dyDescent="0.3">
      <c r="A4" t="s">
        <v>46</v>
      </c>
      <c r="B4" t="s">
        <v>47</v>
      </c>
      <c r="C4" t="s">
        <v>48</v>
      </c>
      <c r="D4" t="s">
        <v>49</v>
      </c>
    </row>
    <row r="5" spans="1:4" x14ac:dyDescent="0.3">
      <c r="A5" t="s">
        <v>50</v>
      </c>
      <c r="B5" t="s">
        <v>51</v>
      </c>
      <c r="C5" t="s">
        <v>52</v>
      </c>
      <c r="D5" t="s">
        <v>49</v>
      </c>
    </row>
    <row r="6" spans="1:4" x14ac:dyDescent="0.3">
      <c r="A6" t="s">
        <v>53</v>
      </c>
      <c r="B6" t="s">
        <v>54</v>
      </c>
      <c r="C6" t="s">
        <v>55</v>
      </c>
      <c r="D6" t="s">
        <v>49</v>
      </c>
    </row>
    <row r="7" spans="1:4" x14ac:dyDescent="0.3">
      <c r="A7" t="s">
        <v>56</v>
      </c>
      <c r="B7" t="s">
        <v>57</v>
      </c>
      <c r="C7" t="s">
        <v>58</v>
      </c>
      <c r="D7" t="s">
        <v>59</v>
      </c>
    </row>
    <row r="8" spans="1:4" x14ac:dyDescent="0.3">
      <c r="A8" t="s">
        <v>60</v>
      </c>
      <c r="B8" s="10" t="s">
        <v>61</v>
      </c>
      <c r="C8" t="s">
        <v>62</v>
      </c>
      <c r="D8" t="s">
        <v>59</v>
      </c>
    </row>
    <row r="9" spans="1:4" x14ac:dyDescent="0.3">
      <c r="A9" s="45" t="s">
        <v>63</v>
      </c>
      <c r="B9" t="s">
        <v>64</v>
      </c>
      <c r="C9" t="s">
        <v>65</v>
      </c>
      <c r="D9" t="s">
        <v>59</v>
      </c>
    </row>
    <row r="10" spans="1:4" x14ac:dyDescent="0.3">
      <c r="A10" s="45" t="s">
        <v>66</v>
      </c>
      <c r="B10" t="s">
        <v>67</v>
      </c>
      <c r="C10" t="s">
        <v>68</v>
      </c>
      <c r="D10" t="s">
        <v>42</v>
      </c>
    </row>
    <row r="11" spans="1:4" x14ac:dyDescent="0.3">
      <c r="A11" s="45" t="s">
        <v>69</v>
      </c>
      <c r="B11" t="s">
        <v>70</v>
      </c>
      <c r="C11" t="s">
        <v>71</v>
      </c>
      <c r="D11" t="s">
        <v>59</v>
      </c>
    </row>
    <row r="12" spans="1:4" x14ac:dyDescent="0.3">
      <c r="A12" s="45" t="s">
        <v>72</v>
      </c>
      <c r="B12" t="s">
        <v>73</v>
      </c>
      <c r="C12" t="s">
        <v>74</v>
      </c>
      <c r="D12" t="s">
        <v>49</v>
      </c>
    </row>
  </sheetData>
  <phoneticPr fontId="3" type="noConversion"/>
  <pageMargins left="0.7" right="0.7" top="0.78740157499999996" bottom="0.78740157499999996" header="0.3" footer="0.3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E82CF-5D7E-4247-8E21-5B9BDBAD2DB4}">
  <sheetPr codeName="Tabelle5">
    <tabColor theme="4" tint="-0.249977111117893"/>
  </sheetPr>
  <dimension ref="A1:B4"/>
  <sheetViews>
    <sheetView workbookViewId="0">
      <selection activeCell="A4" sqref="A4"/>
    </sheetView>
  </sheetViews>
  <sheetFormatPr baseColWidth="10" defaultColWidth="11.44140625" defaultRowHeight="14.4" x14ac:dyDescent="0.3"/>
  <cols>
    <col min="1" max="1" width="15.109375" bestFit="1" customWidth="1"/>
    <col min="2" max="2" width="15.44140625" customWidth="1"/>
  </cols>
  <sheetData>
    <row r="1" spans="1:2" x14ac:dyDescent="0.3">
      <c r="A1" s="28" t="s">
        <v>38</v>
      </c>
      <c r="B1" s="9" t="s">
        <v>75</v>
      </c>
    </row>
    <row r="2" spans="1:2" x14ac:dyDescent="0.3">
      <c r="A2" t="s">
        <v>42</v>
      </c>
      <c r="B2" t="s">
        <v>76</v>
      </c>
    </row>
    <row r="3" spans="1:2" x14ac:dyDescent="0.3">
      <c r="A3" t="s">
        <v>49</v>
      </c>
      <c r="B3" t="s">
        <v>77</v>
      </c>
    </row>
    <row r="4" spans="1:2" x14ac:dyDescent="0.3">
      <c r="A4" t="s">
        <v>59</v>
      </c>
      <c r="B4" t="s">
        <v>78</v>
      </c>
    </row>
  </sheetData>
  <pageMargins left="0.7" right="0.7" top="0.78740157499999996" bottom="0.78740157499999996" header="0.3" footer="0.3"/>
  <legacy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A0124-3DAA-4482-952A-4D2BA069C44E}">
  <sheetPr>
    <tabColor rgb="FF0070C0"/>
  </sheetPr>
  <dimension ref="A1:B3"/>
  <sheetViews>
    <sheetView workbookViewId="0">
      <selection activeCell="C11" sqref="C11"/>
    </sheetView>
  </sheetViews>
  <sheetFormatPr baseColWidth="10" defaultColWidth="11.44140625" defaultRowHeight="14.4" x14ac:dyDescent="0.3"/>
  <cols>
    <col min="2" max="2" width="13.5546875" customWidth="1"/>
  </cols>
  <sheetData>
    <row r="1" spans="1:2" x14ac:dyDescent="0.3">
      <c r="A1" s="28" t="s">
        <v>79</v>
      </c>
      <c r="B1" s="9" t="s">
        <v>80</v>
      </c>
    </row>
    <row r="2" spans="1:2" x14ac:dyDescent="0.3">
      <c r="A2" t="s">
        <v>81</v>
      </c>
      <c r="B2" t="s">
        <v>82</v>
      </c>
    </row>
    <row r="3" spans="1:2" x14ac:dyDescent="0.3">
      <c r="A3" t="s">
        <v>83</v>
      </c>
      <c r="B3" t="s">
        <v>84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F7BD8-4566-4704-8562-C7AFCAF9F4F2}">
  <sheetPr codeName="Tabelle6">
    <tabColor rgb="FF7030A0"/>
  </sheetPr>
  <dimension ref="A1:W60"/>
  <sheetViews>
    <sheetView tabSelected="1" zoomScale="99" zoomScaleNormal="99" workbookViewId="0">
      <selection activeCell="D10" sqref="D10"/>
    </sheetView>
  </sheetViews>
  <sheetFormatPr baseColWidth="10" defaultColWidth="11.44140625" defaultRowHeight="14.4" x14ac:dyDescent="0.3"/>
  <cols>
    <col min="1" max="1" width="15.6640625" bestFit="1" customWidth="1"/>
    <col min="2" max="2" width="16.33203125" bestFit="1" customWidth="1"/>
    <col min="3" max="3" width="25.109375" bestFit="1" customWidth="1"/>
    <col min="4" max="4" width="23.88671875" bestFit="1" customWidth="1"/>
    <col min="5" max="5" width="20.33203125" bestFit="1" customWidth="1"/>
    <col min="6" max="6" width="20.6640625" customWidth="1"/>
    <col min="7" max="7" width="20.5546875" bestFit="1" customWidth="1"/>
    <col min="8" max="8" width="16" bestFit="1" customWidth="1"/>
    <col min="9" max="9" width="15.88671875" customWidth="1"/>
    <col min="10" max="10" width="16.44140625" bestFit="1" customWidth="1"/>
    <col min="11" max="11" width="14.33203125" bestFit="1" customWidth="1"/>
    <col min="12" max="12" width="12.33203125" customWidth="1"/>
    <col min="13" max="13" width="12.88671875" bestFit="1" customWidth="1"/>
    <col min="15" max="15" width="13.5546875" bestFit="1" customWidth="1"/>
    <col min="17" max="17" width="13.6640625" customWidth="1"/>
    <col min="18" max="18" width="14.33203125" customWidth="1"/>
    <col min="19" max="19" width="14.109375" bestFit="1" customWidth="1"/>
    <col min="20" max="20" width="10.6640625" customWidth="1"/>
    <col min="21" max="21" width="13.5546875" bestFit="1" customWidth="1"/>
    <col min="22" max="22" width="11.6640625" bestFit="1" customWidth="1"/>
    <col min="25" max="25" width="14.109375" bestFit="1" customWidth="1"/>
  </cols>
  <sheetData>
    <row r="1" spans="1:20" s="13" customFormat="1" x14ac:dyDescent="0.3">
      <c r="A1" s="11" t="s">
        <v>85</v>
      </c>
      <c r="B1" s="12" t="s">
        <v>38</v>
      </c>
      <c r="C1" s="12" t="s">
        <v>86</v>
      </c>
      <c r="D1" s="12" t="s">
        <v>87</v>
      </c>
      <c r="E1" s="12" t="s">
        <v>88</v>
      </c>
      <c r="F1" s="12" t="s">
        <v>89</v>
      </c>
      <c r="G1" s="12" t="s">
        <v>90</v>
      </c>
      <c r="H1" s="12" t="s">
        <v>91</v>
      </c>
      <c r="I1" s="14" t="s">
        <v>92</v>
      </c>
      <c r="J1" s="15" t="s">
        <v>93</v>
      </c>
      <c r="K1" s="15" t="s">
        <v>94</v>
      </c>
      <c r="L1" s="15" t="s">
        <v>95</v>
      </c>
      <c r="M1" s="15" t="s">
        <v>96</v>
      </c>
      <c r="N1" s="15" t="s">
        <v>97</v>
      </c>
      <c r="O1" s="14" t="s">
        <v>98</v>
      </c>
      <c r="P1" s="15" t="s">
        <v>99</v>
      </c>
      <c r="Q1" s="15" t="s">
        <v>100</v>
      </c>
      <c r="R1" s="15" t="s">
        <v>101</v>
      </c>
      <c r="S1" s="15" t="s">
        <v>102</v>
      </c>
      <c r="T1" s="15" t="s">
        <v>103</v>
      </c>
    </row>
    <row r="2" spans="1:20" x14ac:dyDescent="0.3">
      <c r="A2" s="39" t="s">
        <v>60</v>
      </c>
      <c r="B2" s="2" t="str">
        <f>VLOOKUP(A2,DIM_Mitarbeiter!A:D,4,FALSE)</f>
        <v>VERKAUF</v>
      </c>
      <c r="C2" s="42">
        <v>44744</v>
      </c>
      <c r="D2" s="42">
        <v>44746</v>
      </c>
      <c r="E2" s="2" t="s">
        <v>82</v>
      </c>
      <c r="F2" s="2">
        <f>+NETWORKDAYS.INTL(C2,D2,1,Feiertage[[Datum ]])</f>
        <v>1</v>
      </c>
      <c r="G2" s="1">
        <f>+NETWORKDAYS.INTL(C2,IF(Rohdaten[[#This Row],[bis_Datum]]&gt;=EOMONTH(Rohdaten[[#This Row],[von_Datum]],0),EOMONTH(Rohdaten[[#This Row],[von_Datum]],0),Rohdaten[[#This Row],[bis_Datum]]),1,Feiertage[[Datum ]])</f>
        <v>1</v>
      </c>
      <c r="H2" s="2">
        <f>+IF(Rohdaten[[#This Row],[Gesamtabwesenheit]]=Rohdaten[[#This Row],[aktueller Monat]],0,NETWORKDAYS.INTL(EOMONTH(Rohdaten[[#This Row],[von_Datum]],0)+1,Rohdaten[[#This Row],[bis_Datum]],1,Feiertage[[Datum ]]))</f>
        <v>0</v>
      </c>
      <c r="I2" s="8">
        <f>EOMONTH(Rohdaten[[#This Row],[von_Datum]],-1)+1</f>
        <v>44743</v>
      </c>
      <c r="J2">
        <f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f>
        <v>1</v>
      </c>
      <c r="K2">
        <f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f>
        <v>0</v>
      </c>
      <c r="L2">
        <f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f>
        <v>0</v>
      </c>
      <c r="M2">
        <f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f>
        <v>0</v>
      </c>
      <c r="N2">
        <f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f>
        <v>0</v>
      </c>
      <c r="O2" s="8">
        <f>EOMONTH(Rohdaten[[#This Row],[bis_Datum]],-1)+1</f>
        <v>44743</v>
      </c>
      <c r="P2">
        <f>+IF(Rohdaten[[#This Row],[Gesamtabwesenheit]]&gt;Rohdaten[[#This Row],[aktueller Monat]],NETWORKDAYS.INTL(EOMONTH(Rohdaten[[#This Row],[von_Datum]],0)+1,Rohdaten[[#This Row],[bis_Datum]],"0111111",Feiertage[[Datum ]]),0)</f>
        <v>0</v>
      </c>
      <c r="Q2">
        <f>+IF(Rohdaten[[#This Row],[Gesamtabwesenheit]]&gt;Rohdaten[[#This Row],[aktueller Monat]],NETWORKDAYS.INTL(EOMONTH(Rohdaten[[#This Row],[von_Datum]],0)+1,Rohdaten[[#This Row],[bis_Datum]],"1011111",Feiertage[[Datum ]]),0)</f>
        <v>0</v>
      </c>
      <c r="R2">
        <f>+IF(Rohdaten[[#This Row],[Gesamtabwesenheit]]&gt;Rohdaten[[#This Row],[aktueller Monat]],NETWORKDAYS.INTL(EOMONTH(Rohdaten[[#This Row],[von_Datum]],0)+1,Rohdaten[[#This Row],[bis_Datum]],"1101111",Feiertage[[Datum ]]),0)</f>
        <v>0</v>
      </c>
      <c r="S2">
        <f>+IF(Rohdaten[[#This Row],[Gesamtabwesenheit]]&gt;Rohdaten[[#This Row],[aktueller Monat]],NETWORKDAYS.INTL(EOMONTH(Rohdaten[[#This Row],[von_Datum]],0)+1,Rohdaten[[#This Row],[bis_Datum]],"1110111",Feiertage[[Datum ]]),0)</f>
        <v>0</v>
      </c>
      <c r="T2">
        <f>+IF(Rohdaten[[#This Row],[Gesamtabwesenheit]]&gt;Rohdaten[[#This Row],[aktueller Monat]],NETWORKDAYS.INTL(EOMONTH(Rohdaten[[#This Row],[von_Datum]],0)+1,Rohdaten[[#This Row],[bis_Datum]],"1111011",Feiertage[[Datum ]]),0)</f>
        <v>0</v>
      </c>
    </row>
    <row r="3" spans="1:20" x14ac:dyDescent="0.3">
      <c r="A3" s="39" t="s">
        <v>56</v>
      </c>
      <c r="B3" s="2" t="str">
        <f>VLOOKUP(A3,DIM_Mitarbeiter!A:D,4,FALSE)</f>
        <v>VERKAUF</v>
      </c>
      <c r="C3" s="42">
        <v>44745</v>
      </c>
      <c r="D3" s="42">
        <v>44746</v>
      </c>
      <c r="E3" s="2" t="s">
        <v>82</v>
      </c>
      <c r="F3" s="2">
        <f>+NETWORKDAYS.INTL(C3,D3,1,Feiertage[[Datum ]])</f>
        <v>1</v>
      </c>
      <c r="G3" s="2">
        <f>+NETWORKDAYS.INTL(C3,IF(Rohdaten[[#This Row],[bis_Datum]]&gt;=EOMONTH(Rohdaten[[#This Row],[von_Datum]],0),EOMONTH(Rohdaten[[#This Row],[von_Datum]],0),Rohdaten[[#This Row],[bis_Datum]]),1,Feiertage[[Datum ]])</f>
        <v>1</v>
      </c>
      <c r="H3" s="2">
        <f>+IF(Rohdaten[[#This Row],[Gesamtabwesenheit]]=Rohdaten[[#This Row],[aktueller Monat]],0,NETWORKDAYS.INTL(EOMONTH(Rohdaten[[#This Row],[von_Datum]],0)+1,Rohdaten[[#This Row],[bis_Datum]],1,Feiertage[[Datum ]]))</f>
        <v>0</v>
      </c>
      <c r="I3" s="8">
        <f>EOMONTH(Rohdaten[[#This Row],[von_Datum]],-1)+1</f>
        <v>44743</v>
      </c>
      <c r="J3">
        <f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f>
        <v>1</v>
      </c>
      <c r="K3">
        <f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f>
        <v>0</v>
      </c>
      <c r="L3">
        <f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f>
        <v>0</v>
      </c>
      <c r="M3">
        <f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f>
        <v>0</v>
      </c>
      <c r="N3">
        <f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f>
        <v>0</v>
      </c>
      <c r="O3" s="8">
        <f>EOMONTH(Rohdaten[[#This Row],[bis_Datum]],-1)+1</f>
        <v>44743</v>
      </c>
      <c r="P3" s="25">
        <f>+IF(Rohdaten[[#This Row],[Gesamtabwesenheit]]&gt;Rohdaten[[#This Row],[aktueller Monat]],NETWORKDAYS.INTL(EOMONTH(Rohdaten[[#This Row],[von_Datum]],0)+1,Rohdaten[[#This Row],[bis_Datum]],"0111111",Feiertage[[Datum ]]),0)</f>
        <v>0</v>
      </c>
      <c r="Q3" s="25">
        <f>+IF(Rohdaten[[#This Row],[Gesamtabwesenheit]]&gt;Rohdaten[[#This Row],[aktueller Monat]],NETWORKDAYS.INTL(EOMONTH(Rohdaten[[#This Row],[von_Datum]],0)+1,Rohdaten[[#This Row],[bis_Datum]],"1011111",Feiertage[[Datum ]]),0)</f>
        <v>0</v>
      </c>
      <c r="R3" s="25">
        <f>+IF(Rohdaten[[#This Row],[Gesamtabwesenheit]]&gt;Rohdaten[[#This Row],[aktueller Monat]],NETWORKDAYS.INTL(EOMONTH(Rohdaten[[#This Row],[von_Datum]],0)+1,Rohdaten[[#This Row],[bis_Datum]],"1101111",Feiertage[[Datum ]]),0)</f>
        <v>0</v>
      </c>
      <c r="S3" s="25">
        <f>+IF(Rohdaten[[#This Row],[Gesamtabwesenheit]]&gt;Rohdaten[[#This Row],[aktueller Monat]],NETWORKDAYS.INTL(EOMONTH(Rohdaten[[#This Row],[von_Datum]],0)+1,Rohdaten[[#This Row],[bis_Datum]],"1110111",Feiertage[[Datum ]]),0)</f>
        <v>0</v>
      </c>
      <c r="T3" s="25">
        <f>+IF(Rohdaten[[#This Row],[Gesamtabwesenheit]]&gt;Rohdaten[[#This Row],[aktueller Monat]],NETWORKDAYS.INTL(EOMONTH(Rohdaten[[#This Row],[von_Datum]],0)+1,Rohdaten[[#This Row],[bis_Datum]],"1111011",Feiertage[[Datum ]]),0)</f>
        <v>0</v>
      </c>
    </row>
    <row r="4" spans="1:20" x14ac:dyDescent="0.3">
      <c r="A4" s="41" t="s">
        <v>39</v>
      </c>
      <c r="B4" s="2" t="str">
        <f>VLOOKUP(A4,DIM_Mitarbeiter!A:D,4,FALSE)</f>
        <v>VERW</v>
      </c>
      <c r="C4" s="42">
        <v>44756</v>
      </c>
      <c r="D4" s="42">
        <v>44761</v>
      </c>
      <c r="E4" s="2" t="s">
        <v>82</v>
      </c>
      <c r="F4" s="2">
        <f>+NETWORKDAYS.INTL(C4,D4,1,Feiertage[[Datum ]])</f>
        <v>4</v>
      </c>
      <c r="G4" s="2">
        <f>+NETWORKDAYS.INTL(C4,IF(Rohdaten[[#This Row],[bis_Datum]]&gt;=EOMONTH(Rohdaten[[#This Row],[von_Datum]],0),EOMONTH(Rohdaten[[#This Row],[von_Datum]],0),Rohdaten[[#This Row],[bis_Datum]]),1,Feiertage[[Datum ]])</f>
        <v>4</v>
      </c>
      <c r="H4" s="2">
        <f>+IF(Rohdaten[[#This Row],[Gesamtabwesenheit]]=Rohdaten[[#This Row],[aktueller Monat]],0,NETWORKDAYS.INTL(EOMONTH(Rohdaten[[#This Row],[von_Datum]],0)+1,Rohdaten[[#This Row],[bis_Datum]],1,Feiertage[[Datum ]]))</f>
        <v>0</v>
      </c>
      <c r="I4" s="8">
        <f>EOMONTH(Rohdaten[[#This Row],[von_Datum]],-1)+1</f>
        <v>44743</v>
      </c>
      <c r="J4">
        <f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f>
        <v>1</v>
      </c>
      <c r="K4">
        <f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f>
        <v>1</v>
      </c>
      <c r="L4">
        <f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f>
        <v>0</v>
      </c>
      <c r="M4">
        <f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f>
        <v>1</v>
      </c>
      <c r="N4">
        <f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f>
        <v>1</v>
      </c>
      <c r="O4" s="8">
        <f>EOMONTH(Rohdaten[[#This Row],[bis_Datum]],-1)+1</f>
        <v>44743</v>
      </c>
      <c r="P4" s="25">
        <f>+IF(Rohdaten[[#This Row],[Gesamtabwesenheit]]&gt;Rohdaten[[#This Row],[aktueller Monat]],NETWORKDAYS.INTL(EOMONTH(Rohdaten[[#This Row],[von_Datum]],0)+1,Rohdaten[[#This Row],[bis_Datum]],"0111111",Feiertage[[Datum ]]),0)</f>
        <v>0</v>
      </c>
      <c r="Q4" s="25">
        <f>+IF(Rohdaten[[#This Row],[Gesamtabwesenheit]]&gt;Rohdaten[[#This Row],[aktueller Monat]],NETWORKDAYS.INTL(EOMONTH(Rohdaten[[#This Row],[von_Datum]],0)+1,Rohdaten[[#This Row],[bis_Datum]],"1011111",Feiertage[[Datum ]]),0)</f>
        <v>0</v>
      </c>
      <c r="R4" s="25">
        <f>+IF(Rohdaten[[#This Row],[Gesamtabwesenheit]]&gt;Rohdaten[[#This Row],[aktueller Monat]],NETWORKDAYS.INTL(EOMONTH(Rohdaten[[#This Row],[von_Datum]],0)+1,Rohdaten[[#This Row],[bis_Datum]],"1101111",Feiertage[[Datum ]]),0)</f>
        <v>0</v>
      </c>
      <c r="S4" s="25">
        <f>+IF(Rohdaten[[#This Row],[Gesamtabwesenheit]]&gt;Rohdaten[[#This Row],[aktueller Monat]],NETWORKDAYS.INTL(EOMONTH(Rohdaten[[#This Row],[von_Datum]],0)+1,Rohdaten[[#This Row],[bis_Datum]],"1110111",Feiertage[[Datum ]]),0)</f>
        <v>0</v>
      </c>
      <c r="T4" s="25">
        <f>+IF(Rohdaten[[#This Row],[Gesamtabwesenheit]]&gt;Rohdaten[[#This Row],[aktueller Monat]],NETWORKDAYS.INTL(EOMONTH(Rohdaten[[#This Row],[von_Datum]],0)+1,Rohdaten[[#This Row],[bis_Datum]],"1111011",Feiertage[[Datum ]]),0)</f>
        <v>0</v>
      </c>
    </row>
    <row r="5" spans="1:20" x14ac:dyDescent="0.3">
      <c r="A5" s="41" t="s">
        <v>43</v>
      </c>
      <c r="B5" s="1" t="str">
        <f>VLOOKUP(A5,DIM_Mitarbeiter!A:D,4,FALSE)</f>
        <v>VERW</v>
      </c>
      <c r="C5" s="40">
        <v>44772</v>
      </c>
      <c r="D5" s="40">
        <v>44775</v>
      </c>
      <c r="E5" s="1" t="s">
        <v>82</v>
      </c>
      <c r="F5" s="2">
        <f>+NETWORKDAYS.INTL(C5,D5,1,Feiertage[[Datum ]])</f>
        <v>2</v>
      </c>
      <c r="G5" s="1">
        <f>+NETWORKDAYS.INTL(C5,IF(Rohdaten[[#This Row],[bis_Datum]]&gt;=EOMONTH(Rohdaten[[#This Row],[von_Datum]],0),EOMONTH(Rohdaten[[#This Row],[von_Datum]],0),Rohdaten[[#This Row],[bis_Datum]]),1,Feiertage[[Datum ]])</f>
        <v>0</v>
      </c>
      <c r="H5" s="1">
        <f>+IF(Rohdaten[[#This Row],[Gesamtabwesenheit]]=Rohdaten[[#This Row],[aktueller Monat]],0,NETWORKDAYS.INTL(EOMONTH(Rohdaten[[#This Row],[von_Datum]],0)+1,Rohdaten[[#This Row],[bis_Datum]],1,Feiertage[[Datum ]]))</f>
        <v>2</v>
      </c>
      <c r="I5" s="8">
        <f>EOMONTH(Rohdaten[[#This Row],[von_Datum]],-1)+1</f>
        <v>44743</v>
      </c>
      <c r="J5">
        <f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f>
        <v>0</v>
      </c>
      <c r="K5">
        <f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f>
        <v>0</v>
      </c>
      <c r="L5">
        <f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f>
        <v>0</v>
      </c>
      <c r="M5">
        <f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f>
        <v>0</v>
      </c>
      <c r="N5">
        <f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f>
        <v>0</v>
      </c>
      <c r="O5" s="8">
        <f>EOMONTH(Rohdaten[[#This Row],[bis_Datum]],-1)+1</f>
        <v>44774</v>
      </c>
      <c r="P5" s="25">
        <f>+IF(Rohdaten[[#This Row],[Gesamtabwesenheit]]&gt;Rohdaten[[#This Row],[aktueller Monat]],NETWORKDAYS.INTL(EOMONTH(Rohdaten[[#This Row],[von_Datum]],0)+1,Rohdaten[[#This Row],[bis_Datum]],"0111111",Feiertage[[Datum ]]),0)</f>
        <v>1</v>
      </c>
      <c r="Q5" s="25">
        <f>+IF(Rohdaten[[#This Row],[Gesamtabwesenheit]]&gt;Rohdaten[[#This Row],[aktueller Monat]],NETWORKDAYS.INTL(EOMONTH(Rohdaten[[#This Row],[von_Datum]],0)+1,Rohdaten[[#This Row],[bis_Datum]],"1011111",Feiertage[[Datum ]]),0)</f>
        <v>1</v>
      </c>
      <c r="R5" s="25">
        <f>+IF(Rohdaten[[#This Row],[Gesamtabwesenheit]]&gt;Rohdaten[[#This Row],[aktueller Monat]],NETWORKDAYS.INTL(EOMONTH(Rohdaten[[#This Row],[von_Datum]],0)+1,Rohdaten[[#This Row],[bis_Datum]],"1101111",Feiertage[[Datum ]]),0)</f>
        <v>0</v>
      </c>
      <c r="S5" s="25">
        <f>+IF(Rohdaten[[#This Row],[Gesamtabwesenheit]]&gt;Rohdaten[[#This Row],[aktueller Monat]],NETWORKDAYS.INTL(EOMONTH(Rohdaten[[#This Row],[von_Datum]],0)+1,Rohdaten[[#This Row],[bis_Datum]],"1110111",Feiertage[[Datum ]]),0)</f>
        <v>0</v>
      </c>
      <c r="T5" s="25">
        <f>+IF(Rohdaten[[#This Row],[Gesamtabwesenheit]]&gt;Rohdaten[[#This Row],[aktueller Monat]],NETWORKDAYS.INTL(EOMONTH(Rohdaten[[#This Row],[von_Datum]],0)+1,Rohdaten[[#This Row],[bis_Datum]],"1111011",Feiertage[[Datum ]]),0)</f>
        <v>0</v>
      </c>
    </row>
    <row r="6" spans="1:20" x14ac:dyDescent="0.3">
      <c r="A6" s="41" t="s">
        <v>39</v>
      </c>
      <c r="B6" s="1" t="str">
        <f>VLOOKUP(A6,DIM_Mitarbeiter!A:D,4,FALSE)</f>
        <v>VERW</v>
      </c>
      <c r="C6" s="40">
        <v>44775</v>
      </c>
      <c r="D6" s="40">
        <v>44793</v>
      </c>
      <c r="E6" s="1" t="s">
        <v>84</v>
      </c>
      <c r="F6" s="2">
        <f>+NETWORKDAYS.INTL(C6,D6,1,Feiertage[[Datum ]])</f>
        <v>14</v>
      </c>
      <c r="G6" s="1">
        <f>+NETWORKDAYS.INTL(C6,IF(Rohdaten[[#This Row],[bis_Datum]]&gt;=EOMONTH(Rohdaten[[#This Row],[von_Datum]],0),EOMONTH(Rohdaten[[#This Row],[von_Datum]],0),Rohdaten[[#This Row],[bis_Datum]]),1,Feiertage[[Datum ]])</f>
        <v>14</v>
      </c>
      <c r="H6" s="1">
        <f>+IF(Rohdaten[[#This Row],[Gesamtabwesenheit]]=Rohdaten[[#This Row],[aktueller Monat]],0,NETWORKDAYS.INTL(EOMONTH(Rohdaten[[#This Row],[von_Datum]],0)+1,Rohdaten[[#This Row],[bis_Datum]],1,Feiertage[[Datum ]]))</f>
        <v>0</v>
      </c>
      <c r="I6" s="8">
        <f>EOMONTH(Rohdaten[[#This Row],[von_Datum]],-1)+1</f>
        <v>44774</v>
      </c>
      <c r="J6">
        <f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f>
        <v>2</v>
      </c>
      <c r="K6">
        <f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f>
        <v>3</v>
      </c>
      <c r="L6">
        <f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f>
        <v>3</v>
      </c>
      <c r="M6">
        <f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f>
        <v>3</v>
      </c>
      <c r="N6">
        <f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f>
        <v>3</v>
      </c>
      <c r="O6" s="8">
        <f>EOMONTH(Rohdaten[[#This Row],[bis_Datum]],-1)+1</f>
        <v>44774</v>
      </c>
      <c r="P6" s="25">
        <f>+IF(Rohdaten[[#This Row],[Gesamtabwesenheit]]&gt;Rohdaten[[#This Row],[aktueller Monat]],NETWORKDAYS.INTL(EOMONTH(Rohdaten[[#This Row],[von_Datum]],0)+1,Rohdaten[[#This Row],[bis_Datum]],"0111111",Feiertage[[Datum ]]),0)</f>
        <v>0</v>
      </c>
      <c r="Q6" s="25">
        <f>+IF(Rohdaten[[#This Row],[Gesamtabwesenheit]]&gt;Rohdaten[[#This Row],[aktueller Monat]],NETWORKDAYS.INTL(EOMONTH(Rohdaten[[#This Row],[von_Datum]],0)+1,Rohdaten[[#This Row],[bis_Datum]],"1011111",Feiertage[[Datum ]]),0)</f>
        <v>0</v>
      </c>
      <c r="R6" s="25">
        <f>+IF(Rohdaten[[#This Row],[Gesamtabwesenheit]]&gt;Rohdaten[[#This Row],[aktueller Monat]],NETWORKDAYS.INTL(EOMONTH(Rohdaten[[#This Row],[von_Datum]],0)+1,Rohdaten[[#This Row],[bis_Datum]],"1101111",Feiertage[[Datum ]]),0)</f>
        <v>0</v>
      </c>
      <c r="S6" s="25">
        <f>+IF(Rohdaten[[#This Row],[Gesamtabwesenheit]]&gt;Rohdaten[[#This Row],[aktueller Monat]],NETWORKDAYS.INTL(EOMONTH(Rohdaten[[#This Row],[von_Datum]],0)+1,Rohdaten[[#This Row],[bis_Datum]],"1110111",Feiertage[[Datum ]]),0)</f>
        <v>0</v>
      </c>
      <c r="T6" s="25">
        <f>+IF(Rohdaten[[#This Row],[Gesamtabwesenheit]]&gt;Rohdaten[[#This Row],[aktueller Monat]],NETWORKDAYS.INTL(EOMONTH(Rohdaten[[#This Row],[von_Datum]],0)+1,Rohdaten[[#This Row],[bis_Datum]],"1111011",Feiertage[[Datum ]]),0)</f>
        <v>0</v>
      </c>
    </row>
    <row r="7" spans="1:20" x14ac:dyDescent="0.3">
      <c r="A7" s="41" t="s">
        <v>43</v>
      </c>
      <c r="B7" s="2" t="str">
        <f>VLOOKUP(A7,DIM_Mitarbeiter!A:D,4,FALSE)</f>
        <v>VERW</v>
      </c>
      <c r="C7" s="42">
        <v>44780</v>
      </c>
      <c r="D7" s="42">
        <v>44785</v>
      </c>
      <c r="E7" s="1" t="s">
        <v>82</v>
      </c>
      <c r="F7" s="2">
        <f>+NETWORKDAYS.INTL(C7,D7,1,Feiertage[[Datum ]])</f>
        <v>5</v>
      </c>
      <c r="G7" s="1">
        <f>+NETWORKDAYS.INTL(C7,IF(Rohdaten[[#This Row],[bis_Datum]]&gt;=EOMONTH(Rohdaten[[#This Row],[von_Datum]],0),EOMONTH(Rohdaten[[#This Row],[von_Datum]],0),Rohdaten[[#This Row],[bis_Datum]]),1,Feiertage[[Datum ]])</f>
        <v>5</v>
      </c>
      <c r="H7" s="1">
        <f>+IF(Rohdaten[[#This Row],[Gesamtabwesenheit]]=Rohdaten[[#This Row],[aktueller Monat]],0,NETWORKDAYS.INTL(EOMONTH(Rohdaten[[#This Row],[von_Datum]],0)+1,Rohdaten[[#This Row],[bis_Datum]],1,Feiertage[[Datum ]]))</f>
        <v>0</v>
      </c>
      <c r="I7" s="8">
        <f>EOMONTH(Rohdaten[[#This Row],[von_Datum]],-1)+1</f>
        <v>44774</v>
      </c>
      <c r="J7">
        <f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f>
        <v>1</v>
      </c>
      <c r="K7">
        <f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f>
        <v>1</v>
      </c>
      <c r="L7">
        <f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f>
        <v>1</v>
      </c>
      <c r="M7">
        <f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f>
        <v>1</v>
      </c>
      <c r="N7">
        <f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f>
        <v>1</v>
      </c>
      <c r="O7" s="8">
        <f>EOMONTH(Rohdaten[[#This Row],[bis_Datum]],-1)+1</f>
        <v>44774</v>
      </c>
      <c r="P7" s="25">
        <f>+IF(Rohdaten[[#This Row],[Gesamtabwesenheit]]&gt;Rohdaten[[#This Row],[aktueller Monat]],NETWORKDAYS.INTL(EOMONTH(Rohdaten[[#This Row],[von_Datum]],0)+1,Rohdaten[[#This Row],[bis_Datum]],"0111111",Feiertage[[Datum ]]),0)</f>
        <v>0</v>
      </c>
      <c r="Q7" s="25">
        <f>+IF(Rohdaten[[#This Row],[Gesamtabwesenheit]]&gt;Rohdaten[[#This Row],[aktueller Monat]],NETWORKDAYS.INTL(EOMONTH(Rohdaten[[#This Row],[von_Datum]],0)+1,Rohdaten[[#This Row],[bis_Datum]],"1011111",Feiertage[[Datum ]]),0)</f>
        <v>0</v>
      </c>
      <c r="R7" s="25">
        <f>+IF(Rohdaten[[#This Row],[Gesamtabwesenheit]]&gt;Rohdaten[[#This Row],[aktueller Monat]],NETWORKDAYS.INTL(EOMONTH(Rohdaten[[#This Row],[von_Datum]],0)+1,Rohdaten[[#This Row],[bis_Datum]],"1101111",Feiertage[[Datum ]]),0)</f>
        <v>0</v>
      </c>
      <c r="S7" s="25">
        <f>+IF(Rohdaten[[#This Row],[Gesamtabwesenheit]]&gt;Rohdaten[[#This Row],[aktueller Monat]],NETWORKDAYS.INTL(EOMONTH(Rohdaten[[#This Row],[von_Datum]],0)+1,Rohdaten[[#This Row],[bis_Datum]],"1110111",Feiertage[[Datum ]]),0)</f>
        <v>0</v>
      </c>
      <c r="T7" s="25">
        <f>+IF(Rohdaten[[#This Row],[Gesamtabwesenheit]]&gt;Rohdaten[[#This Row],[aktueller Monat]],NETWORKDAYS.INTL(EOMONTH(Rohdaten[[#This Row],[von_Datum]],0)+1,Rohdaten[[#This Row],[bis_Datum]],"1111011",Feiertage[[Datum ]]),0)</f>
        <v>0</v>
      </c>
    </row>
    <row r="8" spans="1:20" x14ac:dyDescent="0.3">
      <c r="A8" s="39" t="s">
        <v>46</v>
      </c>
      <c r="B8" s="1" t="str">
        <f>VLOOKUP(A8,DIM_Mitarbeiter!A:D,4,FALSE)</f>
        <v>PROD</v>
      </c>
      <c r="C8" s="40">
        <v>44785</v>
      </c>
      <c r="D8" s="40">
        <v>44791</v>
      </c>
      <c r="E8" s="1" t="s">
        <v>82</v>
      </c>
      <c r="F8" s="2">
        <f>+NETWORKDAYS.INTL(C8,D8,1,Feiertage[[Datum ]])</f>
        <v>5</v>
      </c>
      <c r="G8" s="1">
        <f>+NETWORKDAYS.INTL(C8,IF(Rohdaten[[#This Row],[bis_Datum]]&gt;=EOMONTH(Rohdaten[[#This Row],[von_Datum]],0),EOMONTH(Rohdaten[[#This Row],[von_Datum]],0),Rohdaten[[#This Row],[bis_Datum]]),1,Feiertage[[Datum ]])</f>
        <v>5</v>
      </c>
      <c r="H8" s="1">
        <f>+IF(Rohdaten[[#This Row],[Gesamtabwesenheit]]=Rohdaten[[#This Row],[aktueller Monat]],0,NETWORKDAYS.INTL(EOMONTH(Rohdaten[[#This Row],[von_Datum]],0)+1,Rohdaten[[#This Row],[bis_Datum]],1,Feiertage[[Datum ]]))</f>
        <v>0</v>
      </c>
      <c r="I8" s="8">
        <f>EOMONTH(Rohdaten[[#This Row],[von_Datum]],-1)+1</f>
        <v>44774</v>
      </c>
      <c r="J8">
        <f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f>
        <v>1</v>
      </c>
      <c r="K8">
        <f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f>
        <v>1</v>
      </c>
      <c r="L8">
        <f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f>
        <v>1</v>
      </c>
      <c r="M8">
        <f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f>
        <v>1</v>
      </c>
      <c r="N8">
        <f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f>
        <v>1</v>
      </c>
      <c r="O8" s="8">
        <f>EOMONTH(Rohdaten[[#This Row],[bis_Datum]],-1)+1</f>
        <v>44774</v>
      </c>
      <c r="P8" s="25">
        <f>+IF(Rohdaten[[#This Row],[Gesamtabwesenheit]]&gt;Rohdaten[[#This Row],[aktueller Monat]],NETWORKDAYS.INTL(EOMONTH(Rohdaten[[#This Row],[von_Datum]],0)+1,Rohdaten[[#This Row],[bis_Datum]],"0111111",Feiertage[[Datum ]]),0)</f>
        <v>0</v>
      </c>
      <c r="Q8" s="25">
        <f>+IF(Rohdaten[[#This Row],[Gesamtabwesenheit]]&gt;Rohdaten[[#This Row],[aktueller Monat]],NETWORKDAYS.INTL(EOMONTH(Rohdaten[[#This Row],[von_Datum]],0)+1,Rohdaten[[#This Row],[bis_Datum]],"1011111",Feiertage[[Datum ]]),0)</f>
        <v>0</v>
      </c>
      <c r="R8" s="25">
        <f>+IF(Rohdaten[[#This Row],[Gesamtabwesenheit]]&gt;Rohdaten[[#This Row],[aktueller Monat]],NETWORKDAYS.INTL(EOMONTH(Rohdaten[[#This Row],[von_Datum]],0)+1,Rohdaten[[#This Row],[bis_Datum]],"1101111",Feiertage[[Datum ]]),0)</f>
        <v>0</v>
      </c>
      <c r="S8" s="25">
        <f>+IF(Rohdaten[[#This Row],[Gesamtabwesenheit]]&gt;Rohdaten[[#This Row],[aktueller Monat]],NETWORKDAYS.INTL(EOMONTH(Rohdaten[[#This Row],[von_Datum]],0)+1,Rohdaten[[#This Row],[bis_Datum]],"1110111",Feiertage[[Datum ]]),0)</f>
        <v>0</v>
      </c>
      <c r="T8" s="25">
        <f>+IF(Rohdaten[[#This Row],[Gesamtabwesenheit]]&gt;Rohdaten[[#This Row],[aktueller Monat]],NETWORKDAYS.INTL(EOMONTH(Rohdaten[[#This Row],[von_Datum]],0)+1,Rohdaten[[#This Row],[bis_Datum]],"1111011",Feiertage[[Datum ]]),0)</f>
        <v>0</v>
      </c>
    </row>
    <row r="9" spans="1:20" x14ac:dyDescent="0.3">
      <c r="A9" s="39" t="s">
        <v>60</v>
      </c>
      <c r="B9" s="2" t="str">
        <f>VLOOKUP(A9,DIM_Mitarbeiter!A:D,4,FALSE)</f>
        <v>VERKAUF</v>
      </c>
      <c r="C9" s="42">
        <v>44788</v>
      </c>
      <c r="D9" s="42">
        <v>44789</v>
      </c>
      <c r="E9" s="2" t="s">
        <v>82</v>
      </c>
      <c r="F9" s="2">
        <f>+NETWORKDAYS.INTL(C9,D9,1,Feiertage[[Datum ]])</f>
        <v>2</v>
      </c>
      <c r="G9" s="1">
        <f>+NETWORKDAYS.INTL(C9,IF(Rohdaten[[#This Row],[bis_Datum]]&gt;=EOMONTH(Rohdaten[[#This Row],[von_Datum]],0),EOMONTH(Rohdaten[[#This Row],[von_Datum]],0),Rohdaten[[#This Row],[bis_Datum]]),1,Feiertage[[Datum ]])</f>
        <v>2</v>
      </c>
      <c r="H9" s="1">
        <f>+IF(Rohdaten[[#This Row],[Gesamtabwesenheit]]=Rohdaten[[#This Row],[aktueller Monat]],0,NETWORKDAYS.INTL(EOMONTH(Rohdaten[[#This Row],[von_Datum]],0)+1,Rohdaten[[#This Row],[bis_Datum]],1,Feiertage[[Datum ]]))</f>
        <v>0</v>
      </c>
      <c r="I9" s="8">
        <f>EOMONTH(Rohdaten[[#This Row],[von_Datum]],-1)+1</f>
        <v>44774</v>
      </c>
      <c r="J9">
        <f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f>
        <v>1</v>
      </c>
      <c r="K9">
        <f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f>
        <v>1</v>
      </c>
      <c r="L9">
        <f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f>
        <v>0</v>
      </c>
      <c r="M9">
        <f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f>
        <v>0</v>
      </c>
      <c r="N9">
        <f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f>
        <v>0</v>
      </c>
      <c r="O9" s="8">
        <f>EOMONTH(Rohdaten[[#This Row],[bis_Datum]],-1)+1</f>
        <v>44774</v>
      </c>
      <c r="P9">
        <f>+IF(Rohdaten[[#This Row],[Gesamtabwesenheit]]&gt;Rohdaten[[#This Row],[aktueller Monat]],NETWORKDAYS.INTL(EOMONTH(Rohdaten[[#This Row],[von_Datum]],0)+1,Rohdaten[[#This Row],[bis_Datum]],"0111111",Feiertage[[Datum ]]),0)</f>
        <v>0</v>
      </c>
      <c r="Q9">
        <f>+IF(Rohdaten[[#This Row],[Gesamtabwesenheit]]&gt;Rohdaten[[#This Row],[aktueller Monat]],NETWORKDAYS.INTL(EOMONTH(Rohdaten[[#This Row],[von_Datum]],0)+1,Rohdaten[[#This Row],[bis_Datum]],"1011111",Feiertage[[Datum ]]),0)</f>
        <v>0</v>
      </c>
      <c r="R9">
        <f>+IF(Rohdaten[[#This Row],[Gesamtabwesenheit]]&gt;Rohdaten[[#This Row],[aktueller Monat]],NETWORKDAYS.INTL(EOMONTH(Rohdaten[[#This Row],[von_Datum]],0)+1,Rohdaten[[#This Row],[bis_Datum]],"1101111",Feiertage[[Datum ]]),0)</f>
        <v>0</v>
      </c>
      <c r="S9">
        <f>+IF(Rohdaten[[#This Row],[Gesamtabwesenheit]]&gt;Rohdaten[[#This Row],[aktueller Monat]],NETWORKDAYS.INTL(EOMONTH(Rohdaten[[#This Row],[von_Datum]],0)+1,Rohdaten[[#This Row],[bis_Datum]],"1110111",Feiertage[[Datum ]]),0)</f>
        <v>0</v>
      </c>
      <c r="T9">
        <f>+IF(Rohdaten[[#This Row],[Gesamtabwesenheit]]&gt;Rohdaten[[#This Row],[aktueller Monat]],NETWORKDAYS.INTL(EOMONTH(Rohdaten[[#This Row],[von_Datum]],0)+1,Rohdaten[[#This Row],[bis_Datum]],"1111011",Feiertage[[Datum ]]),0)</f>
        <v>0</v>
      </c>
    </row>
    <row r="10" spans="1:20" x14ac:dyDescent="0.3">
      <c r="A10" s="41" t="s">
        <v>56</v>
      </c>
      <c r="B10" s="2" t="str">
        <f>VLOOKUP(A10,DIM_Mitarbeiter!A:D,4,FALSE)</f>
        <v>VERKAUF</v>
      </c>
      <c r="C10" s="42">
        <v>44790</v>
      </c>
      <c r="D10" s="42">
        <v>44790</v>
      </c>
      <c r="E10" s="2" t="s">
        <v>82</v>
      </c>
      <c r="F10" s="2">
        <f>+NETWORKDAYS.INTL(C10,D10,1,Feiertage[[Datum ]])</f>
        <v>1</v>
      </c>
      <c r="G10" s="1">
        <f>+NETWORKDAYS.INTL(C10,IF(Rohdaten[[#This Row],[bis_Datum]]&gt;=EOMONTH(Rohdaten[[#This Row],[von_Datum]],0),EOMONTH(Rohdaten[[#This Row],[von_Datum]],0),Rohdaten[[#This Row],[bis_Datum]]),1,Feiertage[[Datum ]])</f>
        <v>1</v>
      </c>
      <c r="H10" s="1">
        <f>+IF(Rohdaten[[#This Row],[Gesamtabwesenheit]]=Rohdaten[[#This Row],[aktueller Monat]],0,NETWORKDAYS.INTL(EOMONTH(Rohdaten[[#This Row],[von_Datum]],0)+1,Rohdaten[[#This Row],[bis_Datum]],1,Feiertage[[Datum ]]))</f>
        <v>0</v>
      </c>
      <c r="I10" s="8">
        <f>EOMONTH(Rohdaten[[#This Row],[von_Datum]],-1)+1</f>
        <v>44774</v>
      </c>
      <c r="J10">
        <f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f>
        <v>0</v>
      </c>
      <c r="K10">
        <f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f>
        <v>0</v>
      </c>
      <c r="L10">
        <f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f>
        <v>1</v>
      </c>
      <c r="M10">
        <f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f>
        <v>0</v>
      </c>
      <c r="N10">
        <f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f>
        <v>0</v>
      </c>
      <c r="O10" s="8">
        <f>EOMONTH(Rohdaten[[#This Row],[bis_Datum]],-1)+1</f>
        <v>44774</v>
      </c>
      <c r="P10" s="25">
        <f>+IF(Rohdaten[[#This Row],[Gesamtabwesenheit]]&gt;Rohdaten[[#This Row],[aktueller Monat]],NETWORKDAYS.INTL(EOMONTH(Rohdaten[[#This Row],[von_Datum]],0)+1,Rohdaten[[#This Row],[bis_Datum]],"0111111",Feiertage[[Datum ]]),0)</f>
        <v>0</v>
      </c>
      <c r="Q10" s="25">
        <f>+IF(Rohdaten[[#This Row],[Gesamtabwesenheit]]&gt;Rohdaten[[#This Row],[aktueller Monat]],NETWORKDAYS.INTL(EOMONTH(Rohdaten[[#This Row],[von_Datum]],0)+1,Rohdaten[[#This Row],[bis_Datum]],"1011111",Feiertage[[Datum ]]),0)</f>
        <v>0</v>
      </c>
      <c r="R10" s="25">
        <f>+IF(Rohdaten[[#This Row],[Gesamtabwesenheit]]&gt;Rohdaten[[#This Row],[aktueller Monat]],NETWORKDAYS.INTL(EOMONTH(Rohdaten[[#This Row],[von_Datum]],0)+1,Rohdaten[[#This Row],[bis_Datum]],"1101111",Feiertage[[Datum ]]),0)</f>
        <v>0</v>
      </c>
      <c r="S10" s="25">
        <f>+IF(Rohdaten[[#This Row],[Gesamtabwesenheit]]&gt;Rohdaten[[#This Row],[aktueller Monat]],NETWORKDAYS.INTL(EOMONTH(Rohdaten[[#This Row],[von_Datum]],0)+1,Rohdaten[[#This Row],[bis_Datum]],"1110111",Feiertage[[Datum ]]),0)</f>
        <v>0</v>
      </c>
      <c r="T10" s="25">
        <f>+IF(Rohdaten[[#This Row],[Gesamtabwesenheit]]&gt;Rohdaten[[#This Row],[aktueller Monat]],NETWORKDAYS.INTL(EOMONTH(Rohdaten[[#This Row],[von_Datum]],0)+1,Rohdaten[[#This Row],[bis_Datum]],"1111011",Feiertage[[Datum ]]),0)</f>
        <v>0</v>
      </c>
    </row>
    <row r="11" spans="1:20" x14ac:dyDescent="0.3">
      <c r="A11" s="41" t="s">
        <v>56</v>
      </c>
      <c r="B11" s="2" t="str">
        <f>VLOOKUP(A11,DIM_Mitarbeiter!A:D,4,FALSE)</f>
        <v>VERKAUF</v>
      </c>
      <c r="C11" s="42">
        <v>44806</v>
      </c>
      <c r="D11" s="42">
        <v>44807</v>
      </c>
      <c r="E11" s="2" t="s">
        <v>84</v>
      </c>
      <c r="F11" s="2">
        <f>+NETWORKDAYS.INTL(C11,D11,1,Feiertage[[Datum ]])</f>
        <v>1</v>
      </c>
      <c r="G11" s="1">
        <f>+NETWORKDAYS.INTL(C11,IF(Rohdaten[[#This Row],[bis_Datum]]&gt;=EOMONTH(Rohdaten[[#This Row],[von_Datum]],0),EOMONTH(Rohdaten[[#This Row],[von_Datum]],0),Rohdaten[[#This Row],[bis_Datum]]),1,Feiertage[[Datum ]])</f>
        <v>1</v>
      </c>
      <c r="H11" s="1">
        <f>+IF(Rohdaten[[#This Row],[Gesamtabwesenheit]]=Rohdaten[[#This Row],[aktueller Monat]],0,NETWORKDAYS.INTL(EOMONTH(Rohdaten[[#This Row],[von_Datum]],0)+1,Rohdaten[[#This Row],[bis_Datum]],1,Feiertage[[Datum ]]))</f>
        <v>0</v>
      </c>
      <c r="I11" s="8">
        <f>EOMONTH(Rohdaten[[#This Row],[von_Datum]],-1)+1</f>
        <v>44805</v>
      </c>
      <c r="J11">
        <f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f>
        <v>0</v>
      </c>
      <c r="K11">
        <f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f>
        <v>0</v>
      </c>
      <c r="L11">
        <f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f>
        <v>0</v>
      </c>
      <c r="M11">
        <f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f>
        <v>0</v>
      </c>
      <c r="N11">
        <f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f>
        <v>1</v>
      </c>
      <c r="O11" s="8">
        <f>EOMONTH(Rohdaten[[#This Row],[bis_Datum]],-1)+1</f>
        <v>44805</v>
      </c>
      <c r="P11" s="25">
        <f>+IF(Rohdaten[[#This Row],[Gesamtabwesenheit]]&gt;Rohdaten[[#This Row],[aktueller Monat]],NETWORKDAYS.INTL(EOMONTH(Rohdaten[[#This Row],[von_Datum]],0)+1,Rohdaten[[#This Row],[bis_Datum]],"0111111",Feiertage[[Datum ]]),0)</f>
        <v>0</v>
      </c>
      <c r="Q11" s="25">
        <f>+IF(Rohdaten[[#This Row],[Gesamtabwesenheit]]&gt;Rohdaten[[#This Row],[aktueller Monat]],NETWORKDAYS.INTL(EOMONTH(Rohdaten[[#This Row],[von_Datum]],0)+1,Rohdaten[[#This Row],[bis_Datum]],"1011111",Feiertage[[Datum ]]),0)</f>
        <v>0</v>
      </c>
      <c r="R11" s="25">
        <f>+IF(Rohdaten[[#This Row],[Gesamtabwesenheit]]&gt;Rohdaten[[#This Row],[aktueller Monat]],NETWORKDAYS.INTL(EOMONTH(Rohdaten[[#This Row],[von_Datum]],0)+1,Rohdaten[[#This Row],[bis_Datum]],"1101111",Feiertage[[Datum ]]),0)</f>
        <v>0</v>
      </c>
      <c r="S11" s="25">
        <f>+IF(Rohdaten[[#This Row],[Gesamtabwesenheit]]&gt;Rohdaten[[#This Row],[aktueller Monat]],NETWORKDAYS.INTL(EOMONTH(Rohdaten[[#This Row],[von_Datum]],0)+1,Rohdaten[[#This Row],[bis_Datum]],"1110111",Feiertage[[Datum ]]),0)</f>
        <v>0</v>
      </c>
      <c r="T11" s="25">
        <f>+IF(Rohdaten[[#This Row],[Gesamtabwesenheit]]&gt;Rohdaten[[#This Row],[aktueller Monat]],NETWORKDAYS.INTL(EOMONTH(Rohdaten[[#This Row],[von_Datum]],0)+1,Rohdaten[[#This Row],[bis_Datum]],"1111011",Feiertage[[Datum ]]),0)</f>
        <v>0</v>
      </c>
    </row>
    <row r="12" spans="1:20" x14ac:dyDescent="0.3">
      <c r="A12" s="41" t="s">
        <v>53</v>
      </c>
      <c r="B12" s="2" t="str">
        <f>VLOOKUP(A12,DIM_Mitarbeiter!A:D,4,FALSE)</f>
        <v>PROD</v>
      </c>
      <c r="C12" s="42">
        <v>44807</v>
      </c>
      <c r="D12" s="42">
        <v>44811</v>
      </c>
      <c r="E12" s="2" t="s">
        <v>82</v>
      </c>
      <c r="F12" s="2">
        <f>+NETWORKDAYS.INTL(C12,D12,1,Feiertage[[Datum ]])</f>
        <v>3</v>
      </c>
      <c r="G12" s="1">
        <f>+NETWORKDAYS.INTL(C12,IF(Rohdaten[[#This Row],[bis_Datum]]&gt;=EOMONTH(Rohdaten[[#This Row],[von_Datum]],0),EOMONTH(Rohdaten[[#This Row],[von_Datum]],0),Rohdaten[[#This Row],[bis_Datum]]),1,Feiertage[[Datum ]])</f>
        <v>3</v>
      </c>
      <c r="H12" s="1">
        <f>+IF(Rohdaten[[#This Row],[Gesamtabwesenheit]]=Rohdaten[[#This Row],[aktueller Monat]],0,NETWORKDAYS.INTL(EOMONTH(Rohdaten[[#This Row],[von_Datum]],0)+1,Rohdaten[[#This Row],[bis_Datum]],1,Feiertage[[Datum ]]))</f>
        <v>0</v>
      </c>
      <c r="I12" s="8">
        <f>EOMONTH(Rohdaten[[#This Row],[von_Datum]],-1)+1</f>
        <v>44805</v>
      </c>
      <c r="J12">
        <f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f>
        <v>1</v>
      </c>
      <c r="K12">
        <f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f>
        <v>1</v>
      </c>
      <c r="L12">
        <f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f>
        <v>1</v>
      </c>
      <c r="M12">
        <f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f>
        <v>0</v>
      </c>
      <c r="N12">
        <f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f>
        <v>0</v>
      </c>
      <c r="O12" s="8">
        <f>EOMONTH(Rohdaten[[#This Row],[bis_Datum]],-1)+1</f>
        <v>44805</v>
      </c>
      <c r="P12" s="25">
        <f>+IF(Rohdaten[[#This Row],[Gesamtabwesenheit]]&gt;Rohdaten[[#This Row],[aktueller Monat]],NETWORKDAYS.INTL(EOMONTH(Rohdaten[[#This Row],[von_Datum]],0)+1,Rohdaten[[#This Row],[bis_Datum]],"0111111",Feiertage[[Datum ]]),0)</f>
        <v>0</v>
      </c>
      <c r="Q12" s="25">
        <f>+IF(Rohdaten[[#This Row],[Gesamtabwesenheit]]&gt;Rohdaten[[#This Row],[aktueller Monat]],NETWORKDAYS.INTL(EOMONTH(Rohdaten[[#This Row],[von_Datum]],0)+1,Rohdaten[[#This Row],[bis_Datum]],"1011111",Feiertage[[Datum ]]),0)</f>
        <v>0</v>
      </c>
      <c r="R12" s="25">
        <f>+IF(Rohdaten[[#This Row],[Gesamtabwesenheit]]&gt;Rohdaten[[#This Row],[aktueller Monat]],NETWORKDAYS.INTL(EOMONTH(Rohdaten[[#This Row],[von_Datum]],0)+1,Rohdaten[[#This Row],[bis_Datum]],"1101111",Feiertage[[Datum ]]),0)</f>
        <v>0</v>
      </c>
      <c r="S12" s="25">
        <f>+IF(Rohdaten[[#This Row],[Gesamtabwesenheit]]&gt;Rohdaten[[#This Row],[aktueller Monat]],NETWORKDAYS.INTL(EOMONTH(Rohdaten[[#This Row],[von_Datum]],0)+1,Rohdaten[[#This Row],[bis_Datum]],"1110111",Feiertage[[Datum ]]),0)</f>
        <v>0</v>
      </c>
      <c r="T12" s="25">
        <f>+IF(Rohdaten[[#This Row],[Gesamtabwesenheit]]&gt;Rohdaten[[#This Row],[aktueller Monat]],NETWORKDAYS.INTL(EOMONTH(Rohdaten[[#This Row],[von_Datum]],0)+1,Rohdaten[[#This Row],[bis_Datum]],"1111011",Feiertage[[Datum ]]),0)</f>
        <v>0</v>
      </c>
    </row>
    <row r="13" spans="1:20" x14ac:dyDescent="0.3">
      <c r="A13" s="41" t="s">
        <v>43</v>
      </c>
      <c r="B13" s="2" t="str">
        <f>VLOOKUP(A13,DIM_Mitarbeiter!A:D,4,FALSE)</f>
        <v>VERW</v>
      </c>
      <c r="C13" s="42">
        <v>44813</v>
      </c>
      <c r="D13" s="42">
        <v>44815</v>
      </c>
      <c r="E13" s="2" t="s">
        <v>84</v>
      </c>
      <c r="F13" s="2">
        <f>+NETWORKDAYS.INTL(C13,D13,1,Feiertage[[Datum ]])</f>
        <v>1</v>
      </c>
      <c r="G13" s="1">
        <f>+NETWORKDAYS.INTL(C13,IF(Rohdaten[[#This Row],[bis_Datum]]&gt;=EOMONTH(Rohdaten[[#This Row],[von_Datum]],0),EOMONTH(Rohdaten[[#This Row],[von_Datum]],0),Rohdaten[[#This Row],[bis_Datum]]),1,Feiertage[[Datum ]])</f>
        <v>1</v>
      </c>
      <c r="H13" s="1">
        <f>+IF(Rohdaten[[#This Row],[Gesamtabwesenheit]]=Rohdaten[[#This Row],[aktueller Monat]],0,NETWORKDAYS.INTL(EOMONTH(Rohdaten[[#This Row],[von_Datum]],0)+1,Rohdaten[[#This Row],[bis_Datum]],1,Feiertage[[Datum ]]))</f>
        <v>0</v>
      </c>
      <c r="I13" s="8">
        <f>EOMONTH(Rohdaten[[#This Row],[von_Datum]],-1)+1</f>
        <v>44805</v>
      </c>
      <c r="J13">
        <f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f>
        <v>0</v>
      </c>
      <c r="K13">
        <f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f>
        <v>0</v>
      </c>
      <c r="L13" s="19">
        <f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f>
        <v>0</v>
      </c>
      <c r="M13">
        <f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f>
        <v>0</v>
      </c>
      <c r="N13">
        <f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f>
        <v>1</v>
      </c>
      <c r="O13" s="8">
        <f>EOMONTH(Rohdaten[[#This Row],[bis_Datum]],-1)+1</f>
        <v>44805</v>
      </c>
      <c r="P13" s="25">
        <f>+IF(Rohdaten[[#This Row],[Gesamtabwesenheit]]&gt;Rohdaten[[#This Row],[aktueller Monat]],NETWORKDAYS.INTL(EOMONTH(Rohdaten[[#This Row],[von_Datum]],0)+1,Rohdaten[[#This Row],[bis_Datum]],"0111111",Feiertage[[Datum ]]),0)</f>
        <v>0</v>
      </c>
      <c r="Q13" s="25">
        <f>+IF(Rohdaten[[#This Row],[Gesamtabwesenheit]]&gt;Rohdaten[[#This Row],[aktueller Monat]],NETWORKDAYS.INTL(EOMONTH(Rohdaten[[#This Row],[von_Datum]],0)+1,Rohdaten[[#This Row],[bis_Datum]],"1011111",Feiertage[[Datum ]]),0)</f>
        <v>0</v>
      </c>
      <c r="R13" s="25">
        <f>+IF(Rohdaten[[#This Row],[Gesamtabwesenheit]]&gt;Rohdaten[[#This Row],[aktueller Monat]],NETWORKDAYS.INTL(EOMONTH(Rohdaten[[#This Row],[von_Datum]],0)+1,Rohdaten[[#This Row],[bis_Datum]],"1101111",Feiertage[[Datum ]]),0)</f>
        <v>0</v>
      </c>
      <c r="S13" s="25">
        <f>+IF(Rohdaten[[#This Row],[Gesamtabwesenheit]]&gt;Rohdaten[[#This Row],[aktueller Monat]],NETWORKDAYS.INTL(EOMONTH(Rohdaten[[#This Row],[von_Datum]],0)+1,Rohdaten[[#This Row],[bis_Datum]],"1110111",Feiertage[[Datum ]]),0)</f>
        <v>0</v>
      </c>
      <c r="T13" s="25">
        <f>+IF(Rohdaten[[#This Row],[Gesamtabwesenheit]]&gt;Rohdaten[[#This Row],[aktueller Monat]],NETWORKDAYS.INTL(EOMONTH(Rohdaten[[#This Row],[von_Datum]],0)+1,Rohdaten[[#This Row],[bis_Datum]],"1111011",Feiertage[[Datum ]]),0)</f>
        <v>0</v>
      </c>
    </row>
    <row r="14" spans="1:20" x14ac:dyDescent="0.3">
      <c r="A14" s="41" t="s">
        <v>60</v>
      </c>
      <c r="B14" s="2" t="str">
        <f>VLOOKUP(A14,DIM_Mitarbeiter!A:D,4,FALSE)</f>
        <v>VERKAUF</v>
      </c>
      <c r="C14" s="42">
        <v>44819</v>
      </c>
      <c r="D14" s="42">
        <v>44821</v>
      </c>
      <c r="E14" s="2" t="s">
        <v>82</v>
      </c>
      <c r="F14" s="2">
        <f>+NETWORKDAYS.INTL(C14,D14,1,Feiertage[[Datum ]])</f>
        <v>2</v>
      </c>
      <c r="G14" s="1">
        <f>+NETWORKDAYS.INTL(C14,IF(Rohdaten[[#This Row],[bis_Datum]]&gt;=EOMONTH(Rohdaten[[#This Row],[von_Datum]],0),EOMONTH(Rohdaten[[#This Row],[von_Datum]],0),Rohdaten[[#This Row],[bis_Datum]]),1,Feiertage[[Datum ]])</f>
        <v>2</v>
      </c>
      <c r="H14" s="1">
        <f>+IF(Rohdaten[[#This Row],[Gesamtabwesenheit]]=Rohdaten[[#This Row],[aktueller Monat]],0,NETWORKDAYS.INTL(EOMONTH(Rohdaten[[#This Row],[von_Datum]],0)+1,Rohdaten[[#This Row],[bis_Datum]],1,Feiertage[[Datum ]]))</f>
        <v>0</v>
      </c>
      <c r="I14" s="8">
        <f>EOMONTH(Rohdaten[[#This Row],[von_Datum]],-1)+1</f>
        <v>44805</v>
      </c>
      <c r="J14">
        <f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f>
        <v>0</v>
      </c>
      <c r="K14">
        <f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f>
        <v>0</v>
      </c>
      <c r="L14">
        <f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f>
        <v>0</v>
      </c>
      <c r="M14">
        <f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f>
        <v>1</v>
      </c>
      <c r="N14">
        <f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f>
        <v>1</v>
      </c>
      <c r="O14" s="8">
        <f>EOMONTH(Rohdaten[[#This Row],[bis_Datum]],-1)+1</f>
        <v>44805</v>
      </c>
      <c r="P14">
        <f>+IF(Rohdaten[[#This Row],[Gesamtabwesenheit]]&gt;Rohdaten[[#This Row],[aktueller Monat]],NETWORKDAYS.INTL(EOMONTH(Rohdaten[[#This Row],[von_Datum]],0)+1,Rohdaten[[#This Row],[bis_Datum]],"0111111",Feiertage[[Datum ]]),0)</f>
        <v>0</v>
      </c>
      <c r="Q14">
        <f>+IF(Rohdaten[[#This Row],[Gesamtabwesenheit]]&gt;Rohdaten[[#This Row],[aktueller Monat]],NETWORKDAYS.INTL(EOMONTH(Rohdaten[[#This Row],[von_Datum]],0)+1,Rohdaten[[#This Row],[bis_Datum]],"1011111",Feiertage[[Datum ]]),0)</f>
        <v>0</v>
      </c>
      <c r="R14">
        <f>+IF(Rohdaten[[#This Row],[Gesamtabwesenheit]]&gt;Rohdaten[[#This Row],[aktueller Monat]],NETWORKDAYS.INTL(EOMONTH(Rohdaten[[#This Row],[von_Datum]],0)+1,Rohdaten[[#This Row],[bis_Datum]],"1101111",Feiertage[[Datum ]]),0)</f>
        <v>0</v>
      </c>
      <c r="S14">
        <f>+IF(Rohdaten[[#This Row],[Gesamtabwesenheit]]&gt;Rohdaten[[#This Row],[aktueller Monat]],NETWORKDAYS.INTL(EOMONTH(Rohdaten[[#This Row],[von_Datum]],0)+1,Rohdaten[[#This Row],[bis_Datum]],"1110111",Feiertage[[Datum ]]),0)</f>
        <v>0</v>
      </c>
      <c r="T14">
        <f>+IF(Rohdaten[[#This Row],[Gesamtabwesenheit]]&gt;Rohdaten[[#This Row],[aktueller Monat]],NETWORKDAYS.INTL(EOMONTH(Rohdaten[[#This Row],[von_Datum]],0)+1,Rohdaten[[#This Row],[bis_Datum]],"1111011",Feiertage[[Datum ]]),0)</f>
        <v>0</v>
      </c>
    </row>
    <row r="15" spans="1:20" x14ac:dyDescent="0.3">
      <c r="A15" s="41" t="s">
        <v>60</v>
      </c>
      <c r="B15" s="1" t="str">
        <f>VLOOKUP(A15,DIM_Mitarbeiter!A:D,4,FALSE)</f>
        <v>VERKAUF</v>
      </c>
      <c r="C15" s="40">
        <v>44827</v>
      </c>
      <c r="D15" s="40">
        <v>44827</v>
      </c>
      <c r="E15" s="1" t="s">
        <v>84</v>
      </c>
      <c r="F15" s="2">
        <f>+NETWORKDAYS.INTL(C15,D15,1,Feiertage[[Datum ]])</f>
        <v>1</v>
      </c>
      <c r="G15" s="1">
        <f>+NETWORKDAYS.INTL(C15,IF(Rohdaten[[#This Row],[bis_Datum]]&gt;=EOMONTH(Rohdaten[[#This Row],[von_Datum]],0),EOMONTH(Rohdaten[[#This Row],[von_Datum]],0),Rohdaten[[#This Row],[bis_Datum]]),1,Feiertage[[Datum ]])</f>
        <v>1</v>
      </c>
      <c r="H15" s="1">
        <f>+IF(Rohdaten[[#This Row],[Gesamtabwesenheit]]=Rohdaten[[#This Row],[aktueller Monat]],0,NETWORKDAYS.INTL(EOMONTH(Rohdaten[[#This Row],[von_Datum]],0)+1,Rohdaten[[#This Row],[bis_Datum]],1,Feiertage[[Datum ]]))</f>
        <v>0</v>
      </c>
      <c r="I15" s="8">
        <f>EOMONTH(Rohdaten[[#This Row],[von_Datum]],-1)+1</f>
        <v>44805</v>
      </c>
      <c r="J15">
        <f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f>
        <v>0</v>
      </c>
      <c r="K15">
        <f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f>
        <v>0</v>
      </c>
      <c r="L15">
        <f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f>
        <v>0</v>
      </c>
      <c r="M15">
        <f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f>
        <v>0</v>
      </c>
      <c r="N15">
        <f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f>
        <v>1</v>
      </c>
      <c r="O15" s="8">
        <f>EOMONTH(Rohdaten[[#This Row],[bis_Datum]],-1)+1</f>
        <v>44805</v>
      </c>
      <c r="P15">
        <f>+IF(Rohdaten[[#This Row],[Gesamtabwesenheit]]&gt;Rohdaten[[#This Row],[aktueller Monat]],NETWORKDAYS.INTL(EOMONTH(Rohdaten[[#This Row],[von_Datum]],0)+1,Rohdaten[[#This Row],[bis_Datum]],"0111111",Feiertage[[Datum ]]),0)</f>
        <v>0</v>
      </c>
      <c r="Q15">
        <f>+IF(Rohdaten[[#This Row],[Gesamtabwesenheit]]&gt;Rohdaten[[#This Row],[aktueller Monat]],NETWORKDAYS.INTL(EOMONTH(Rohdaten[[#This Row],[von_Datum]],0)+1,Rohdaten[[#This Row],[bis_Datum]],"1011111",Feiertage[[Datum ]]),0)</f>
        <v>0</v>
      </c>
      <c r="R15">
        <f>+IF(Rohdaten[[#This Row],[Gesamtabwesenheit]]&gt;Rohdaten[[#This Row],[aktueller Monat]],NETWORKDAYS.INTL(EOMONTH(Rohdaten[[#This Row],[von_Datum]],0)+1,Rohdaten[[#This Row],[bis_Datum]],"1101111",Feiertage[[Datum ]]),0)</f>
        <v>0</v>
      </c>
      <c r="S15">
        <f>+IF(Rohdaten[[#This Row],[Gesamtabwesenheit]]&gt;Rohdaten[[#This Row],[aktueller Monat]],NETWORKDAYS.INTL(EOMONTH(Rohdaten[[#This Row],[von_Datum]],0)+1,Rohdaten[[#This Row],[bis_Datum]],"1110111",Feiertage[[Datum ]]),0)</f>
        <v>0</v>
      </c>
      <c r="T15">
        <f>+IF(Rohdaten[[#This Row],[Gesamtabwesenheit]]&gt;Rohdaten[[#This Row],[aktueller Monat]],NETWORKDAYS.INTL(EOMONTH(Rohdaten[[#This Row],[von_Datum]],0)+1,Rohdaten[[#This Row],[bis_Datum]],"1111011",Feiertage[[Datum ]]),0)</f>
        <v>0</v>
      </c>
    </row>
    <row r="16" spans="1:20" x14ac:dyDescent="0.3">
      <c r="A16" s="41" t="s">
        <v>56</v>
      </c>
      <c r="B16" s="1" t="str">
        <f>VLOOKUP(A16,DIM_Mitarbeiter!A:D,4,FALSE)</f>
        <v>VERKAUF</v>
      </c>
      <c r="C16" s="40">
        <v>44828</v>
      </c>
      <c r="D16" s="40">
        <v>44829</v>
      </c>
      <c r="E16" s="1" t="s">
        <v>84</v>
      </c>
      <c r="F16" s="2">
        <f>+NETWORKDAYS.INTL(C16,D16,1,Feiertage[[Datum ]])</f>
        <v>0</v>
      </c>
      <c r="G16" s="1">
        <f>+NETWORKDAYS.INTL(C16,IF(Rohdaten[[#This Row],[bis_Datum]]&gt;=EOMONTH(Rohdaten[[#This Row],[von_Datum]],0),EOMONTH(Rohdaten[[#This Row],[von_Datum]],0),Rohdaten[[#This Row],[bis_Datum]]),1,Feiertage[[Datum ]])</f>
        <v>0</v>
      </c>
      <c r="H16" s="1">
        <f>+IF(Rohdaten[[#This Row],[Gesamtabwesenheit]]=Rohdaten[[#This Row],[aktueller Monat]],0,NETWORKDAYS.INTL(EOMONTH(Rohdaten[[#This Row],[von_Datum]],0)+1,Rohdaten[[#This Row],[bis_Datum]],1,Feiertage[[Datum ]]))</f>
        <v>0</v>
      </c>
      <c r="I16" s="8">
        <f>EOMONTH(Rohdaten[[#This Row],[von_Datum]],-1)+1</f>
        <v>44805</v>
      </c>
      <c r="J16">
        <f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f>
        <v>0</v>
      </c>
      <c r="K16">
        <f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f>
        <v>0</v>
      </c>
      <c r="L16">
        <f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f>
        <v>0</v>
      </c>
      <c r="M16">
        <f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f>
        <v>0</v>
      </c>
      <c r="N16">
        <f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f>
        <v>0</v>
      </c>
      <c r="O16" s="8">
        <f>EOMONTH(Rohdaten[[#This Row],[bis_Datum]],-1)+1</f>
        <v>44805</v>
      </c>
      <c r="P16" s="25">
        <f>+IF(Rohdaten[[#This Row],[Gesamtabwesenheit]]&gt;Rohdaten[[#This Row],[aktueller Monat]],NETWORKDAYS.INTL(EOMONTH(Rohdaten[[#This Row],[von_Datum]],0)+1,Rohdaten[[#This Row],[bis_Datum]],"0111111",Feiertage[[Datum ]]),0)</f>
        <v>0</v>
      </c>
      <c r="Q16" s="25">
        <f>+IF(Rohdaten[[#This Row],[Gesamtabwesenheit]]&gt;Rohdaten[[#This Row],[aktueller Monat]],NETWORKDAYS.INTL(EOMONTH(Rohdaten[[#This Row],[von_Datum]],0)+1,Rohdaten[[#This Row],[bis_Datum]],"1011111",Feiertage[[Datum ]]),0)</f>
        <v>0</v>
      </c>
      <c r="R16" s="25">
        <f>+IF(Rohdaten[[#This Row],[Gesamtabwesenheit]]&gt;Rohdaten[[#This Row],[aktueller Monat]],NETWORKDAYS.INTL(EOMONTH(Rohdaten[[#This Row],[von_Datum]],0)+1,Rohdaten[[#This Row],[bis_Datum]],"1101111",Feiertage[[Datum ]]),0)</f>
        <v>0</v>
      </c>
      <c r="S16" s="25">
        <f>+IF(Rohdaten[[#This Row],[Gesamtabwesenheit]]&gt;Rohdaten[[#This Row],[aktueller Monat]],NETWORKDAYS.INTL(EOMONTH(Rohdaten[[#This Row],[von_Datum]],0)+1,Rohdaten[[#This Row],[bis_Datum]],"1110111",Feiertage[[Datum ]]),0)</f>
        <v>0</v>
      </c>
      <c r="T16" s="25">
        <f>+IF(Rohdaten[[#This Row],[Gesamtabwesenheit]]&gt;Rohdaten[[#This Row],[aktueller Monat]],NETWORKDAYS.INTL(EOMONTH(Rohdaten[[#This Row],[von_Datum]],0)+1,Rohdaten[[#This Row],[bis_Datum]],"1111011",Feiertage[[Datum ]]),0)</f>
        <v>0</v>
      </c>
    </row>
    <row r="17" spans="1:23" x14ac:dyDescent="0.3">
      <c r="A17" s="41" t="s">
        <v>39</v>
      </c>
      <c r="B17" s="1" t="str">
        <f>VLOOKUP(A17,DIM_Mitarbeiter!A:D,4,FALSE)</f>
        <v>VERW</v>
      </c>
      <c r="C17" s="40">
        <v>44837</v>
      </c>
      <c r="D17" s="40">
        <v>44841</v>
      </c>
      <c r="E17" s="1" t="s">
        <v>82</v>
      </c>
      <c r="F17" s="2">
        <f>+NETWORKDAYS.INTL(C17,D17,1,Feiertage[[Datum ]])</f>
        <v>4</v>
      </c>
      <c r="G17" s="1">
        <f>+NETWORKDAYS.INTL(C17,IF(Rohdaten[[#This Row],[bis_Datum]]&gt;=EOMONTH(Rohdaten[[#This Row],[von_Datum]],0),EOMONTH(Rohdaten[[#This Row],[von_Datum]],0),Rohdaten[[#This Row],[bis_Datum]]),1,Feiertage[[Datum ]])</f>
        <v>4</v>
      </c>
      <c r="H17" s="1">
        <f>+IF(Rohdaten[[#This Row],[Gesamtabwesenheit]]=Rohdaten[[#This Row],[aktueller Monat]],0,NETWORKDAYS.INTL(EOMONTH(Rohdaten[[#This Row],[von_Datum]],0)+1,Rohdaten[[#This Row],[bis_Datum]],1,Feiertage[[Datum ]]))</f>
        <v>0</v>
      </c>
      <c r="I17" s="8">
        <f>EOMONTH(Rohdaten[[#This Row],[von_Datum]],-1)+1</f>
        <v>44835</v>
      </c>
      <c r="J17">
        <f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f>
        <v>0</v>
      </c>
      <c r="K17">
        <f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f>
        <v>1</v>
      </c>
      <c r="L17">
        <f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f>
        <v>1</v>
      </c>
      <c r="M17">
        <f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f>
        <v>1</v>
      </c>
      <c r="N17">
        <f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f>
        <v>1</v>
      </c>
      <c r="O17" s="8">
        <f>EOMONTH(Rohdaten[[#This Row],[bis_Datum]],-1)+1</f>
        <v>44835</v>
      </c>
      <c r="P17">
        <f>+IF(Rohdaten[[#This Row],[Gesamtabwesenheit]]&gt;Rohdaten[[#This Row],[aktueller Monat]],NETWORKDAYS.INTL(EOMONTH(Rohdaten[[#This Row],[von_Datum]],0)+1,Rohdaten[[#This Row],[bis_Datum]],"0111111",Feiertage[[Datum ]]),0)</f>
        <v>0</v>
      </c>
      <c r="Q17">
        <f>+IF(Rohdaten[[#This Row],[Gesamtabwesenheit]]&gt;Rohdaten[[#This Row],[aktueller Monat]],NETWORKDAYS.INTL(EOMONTH(Rohdaten[[#This Row],[von_Datum]],0)+1,Rohdaten[[#This Row],[bis_Datum]],"1011111",Feiertage[[Datum ]]),0)</f>
        <v>0</v>
      </c>
      <c r="R17">
        <f>+IF(Rohdaten[[#This Row],[Gesamtabwesenheit]]&gt;Rohdaten[[#This Row],[aktueller Monat]],NETWORKDAYS.INTL(EOMONTH(Rohdaten[[#This Row],[von_Datum]],0)+1,Rohdaten[[#This Row],[bis_Datum]],"1101111",Feiertage[[Datum ]]),0)</f>
        <v>0</v>
      </c>
      <c r="S17">
        <f>+IF(Rohdaten[[#This Row],[Gesamtabwesenheit]]&gt;Rohdaten[[#This Row],[aktueller Monat]],NETWORKDAYS.INTL(EOMONTH(Rohdaten[[#This Row],[von_Datum]],0)+1,Rohdaten[[#This Row],[bis_Datum]],"1110111",Feiertage[[Datum ]]),0)</f>
        <v>0</v>
      </c>
      <c r="T17">
        <f>+IF(Rohdaten[[#This Row],[Gesamtabwesenheit]]&gt;Rohdaten[[#This Row],[aktueller Monat]],NETWORKDAYS.INTL(EOMONTH(Rohdaten[[#This Row],[von_Datum]],0)+1,Rohdaten[[#This Row],[bis_Datum]],"1111011",Feiertage[[Datum ]]),0)</f>
        <v>0</v>
      </c>
    </row>
    <row r="18" spans="1:23" x14ac:dyDescent="0.3">
      <c r="A18" s="41" t="s">
        <v>63</v>
      </c>
      <c r="B18" s="1" t="str">
        <f>VLOOKUP(A18,DIM_Mitarbeiter!A:D,4,FALSE)</f>
        <v>VERKAUF</v>
      </c>
      <c r="C18" s="40">
        <v>44841</v>
      </c>
      <c r="D18" s="40">
        <v>44843</v>
      </c>
      <c r="E18" s="1" t="s">
        <v>82</v>
      </c>
      <c r="F18" s="2">
        <f>+NETWORKDAYS.INTL(C18,D18,1,Feiertage[[Datum ]])</f>
        <v>1</v>
      </c>
      <c r="G18" s="1">
        <f>+NETWORKDAYS.INTL(C18,IF(Rohdaten[[#This Row],[bis_Datum]]&gt;=EOMONTH(Rohdaten[[#This Row],[von_Datum]],0),EOMONTH(Rohdaten[[#This Row],[von_Datum]],0),Rohdaten[[#This Row],[bis_Datum]]),1,Feiertage[[Datum ]])</f>
        <v>1</v>
      </c>
      <c r="H18" s="1">
        <f>+IF(Rohdaten[[#This Row],[Gesamtabwesenheit]]=Rohdaten[[#This Row],[aktueller Monat]],0,NETWORKDAYS.INTL(EOMONTH(Rohdaten[[#This Row],[von_Datum]],0)+1,Rohdaten[[#This Row],[bis_Datum]],1,Feiertage[[Datum ]]))</f>
        <v>0</v>
      </c>
      <c r="I18" s="8">
        <f>EOMONTH(Rohdaten[[#This Row],[von_Datum]],-1)+1</f>
        <v>44835</v>
      </c>
      <c r="J18">
        <f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f>
        <v>0</v>
      </c>
      <c r="K18">
        <f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f>
        <v>0</v>
      </c>
      <c r="L18">
        <f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f>
        <v>0</v>
      </c>
      <c r="M18">
        <f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f>
        <v>0</v>
      </c>
      <c r="N18">
        <f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f>
        <v>1</v>
      </c>
      <c r="O18" s="8">
        <f>EOMONTH(Rohdaten[[#This Row],[bis_Datum]],-1)+1</f>
        <v>44835</v>
      </c>
      <c r="P18">
        <f>+IF(Rohdaten[[#This Row],[Gesamtabwesenheit]]&gt;Rohdaten[[#This Row],[aktueller Monat]],NETWORKDAYS.INTL(EOMONTH(Rohdaten[[#This Row],[von_Datum]],0)+1,Rohdaten[[#This Row],[bis_Datum]],"0111111",Feiertage[[Datum ]]),0)</f>
        <v>0</v>
      </c>
      <c r="Q18">
        <f>+IF(Rohdaten[[#This Row],[Gesamtabwesenheit]]&gt;Rohdaten[[#This Row],[aktueller Monat]],NETWORKDAYS.INTL(EOMONTH(Rohdaten[[#This Row],[von_Datum]],0)+1,Rohdaten[[#This Row],[bis_Datum]],"1011111",Feiertage[[Datum ]]),0)</f>
        <v>0</v>
      </c>
      <c r="R18">
        <f>+IF(Rohdaten[[#This Row],[Gesamtabwesenheit]]&gt;Rohdaten[[#This Row],[aktueller Monat]],NETWORKDAYS.INTL(EOMONTH(Rohdaten[[#This Row],[von_Datum]],0)+1,Rohdaten[[#This Row],[bis_Datum]],"1101111",Feiertage[[Datum ]]),0)</f>
        <v>0</v>
      </c>
      <c r="S18">
        <f>+IF(Rohdaten[[#This Row],[Gesamtabwesenheit]]&gt;Rohdaten[[#This Row],[aktueller Monat]],NETWORKDAYS.INTL(EOMONTH(Rohdaten[[#This Row],[von_Datum]],0)+1,Rohdaten[[#This Row],[bis_Datum]],"1110111",Feiertage[[Datum ]]),0)</f>
        <v>0</v>
      </c>
      <c r="T18">
        <f>+IF(Rohdaten[[#This Row],[Gesamtabwesenheit]]&gt;Rohdaten[[#This Row],[aktueller Monat]],NETWORKDAYS.INTL(EOMONTH(Rohdaten[[#This Row],[von_Datum]],0)+1,Rohdaten[[#This Row],[bis_Datum]],"1111011",Feiertage[[Datum ]]),0)</f>
        <v>0</v>
      </c>
    </row>
    <row r="19" spans="1:23" x14ac:dyDescent="0.3">
      <c r="A19" s="41" t="s">
        <v>53</v>
      </c>
      <c r="B19" s="1" t="str">
        <f>VLOOKUP(A19,DIM_Mitarbeiter!A:D,4,FALSE)</f>
        <v>PROD</v>
      </c>
      <c r="C19" s="40">
        <v>44844</v>
      </c>
      <c r="D19" s="40">
        <v>44848</v>
      </c>
      <c r="E19" s="1" t="s">
        <v>84</v>
      </c>
      <c r="F19" s="2">
        <f>+NETWORKDAYS.INTL(C19,D19,1,Feiertage[[Datum ]])</f>
        <v>5</v>
      </c>
      <c r="G19" s="1">
        <f>+NETWORKDAYS.INTL(C19,IF(Rohdaten[[#This Row],[bis_Datum]]&gt;=EOMONTH(Rohdaten[[#This Row],[von_Datum]],0),EOMONTH(Rohdaten[[#This Row],[von_Datum]],0),Rohdaten[[#This Row],[bis_Datum]]),1,Feiertage[[Datum ]])</f>
        <v>5</v>
      </c>
      <c r="H19" s="1">
        <f>+IF(Rohdaten[[#This Row],[Gesamtabwesenheit]]=Rohdaten[[#This Row],[aktueller Monat]],0,NETWORKDAYS.INTL(EOMONTH(Rohdaten[[#This Row],[von_Datum]],0)+1,Rohdaten[[#This Row],[bis_Datum]],1,Feiertage[[Datum ]]))</f>
        <v>0</v>
      </c>
      <c r="I19" s="8">
        <f>EOMONTH(Rohdaten[[#This Row],[von_Datum]],-1)+1</f>
        <v>44835</v>
      </c>
      <c r="J19">
        <f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f>
        <v>1</v>
      </c>
      <c r="K19">
        <f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f>
        <v>1</v>
      </c>
      <c r="L19">
        <f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f>
        <v>1</v>
      </c>
      <c r="M19">
        <f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f>
        <v>1</v>
      </c>
      <c r="N19">
        <f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f>
        <v>1</v>
      </c>
      <c r="O19" s="8">
        <f>EOMONTH(Rohdaten[[#This Row],[bis_Datum]],-1)+1</f>
        <v>44835</v>
      </c>
      <c r="P19">
        <f>+IF(Rohdaten[[#This Row],[Gesamtabwesenheit]]&gt;Rohdaten[[#This Row],[aktueller Monat]],NETWORKDAYS.INTL(EOMONTH(Rohdaten[[#This Row],[von_Datum]],0)+1,Rohdaten[[#This Row],[bis_Datum]],"0111111",Feiertage[[Datum ]]),0)</f>
        <v>0</v>
      </c>
      <c r="Q19">
        <f>+IF(Rohdaten[[#This Row],[Gesamtabwesenheit]]&gt;Rohdaten[[#This Row],[aktueller Monat]],NETWORKDAYS.INTL(EOMONTH(Rohdaten[[#This Row],[von_Datum]],0)+1,Rohdaten[[#This Row],[bis_Datum]],"1011111",Feiertage[[Datum ]]),0)</f>
        <v>0</v>
      </c>
      <c r="R19">
        <f>+IF(Rohdaten[[#This Row],[Gesamtabwesenheit]]&gt;Rohdaten[[#This Row],[aktueller Monat]],NETWORKDAYS.INTL(EOMONTH(Rohdaten[[#This Row],[von_Datum]],0)+1,Rohdaten[[#This Row],[bis_Datum]],"1101111",Feiertage[[Datum ]]),0)</f>
        <v>0</v>
      </c>
      <c r="S19">
        <f>+IF(Rohdaten[[#This Row],[Gesamtabwesenheit]]&gt;Rohdaten[[#This Row],[aktueller Monat]],NETWORKDAYS.INTL(EOMONTH(Rohdaten[[#This Row],[von_Datum]],0)+1,Rohdaten[[#This Row],[bis_Datum]],"1110111",Feiertage[[Datum ]]),0)</f>
        <v>0</v>
      </c>
      <c r="T19">
        <f>+IF(Rohdaten[[#This Row],[Gesamtabwesenheit]]&gt;Rohdaten[[#This Row],[aktueller Monat]],NETWORKDAYS.INTL(EOMONTH(Rohdaten[[#This Row],[von_Datum]],0)+1,Rohdaten[[#This Row],[bis_Datum]],"1111011",Feiertage[[Datum ]]),0)</f>
        <v>0</v>
      </c>
    </row>
    <row r="20" spans="1:23" x14ac:dyDescent="0.3">
      <c r="A20" s="41" t="s">
        <v>63</v>
      </c>
      <c r="B20" s="1" t="str">
        <f>VLOOKUP(A20,DIM_Mitarbeiter!A:D,4,FALSE)</f>
        <v>VERKAUF</v>
      </c>
      <c r="C20" s="40">
        <v>44847</v>
      </c>
      <c r="D20" s="40">
        <v>44849</v>
      </c>
      <c r="E20" s="1" t="s">
        <v>82</v>
      </c>
      <c r="F20" s="2">
        <f>+NETWORKDAYS.INTL(C20,D20,1,Feiertage[[Datum ]])</f>
        <v>2</v>
      </c>
      <c r="G20" s="1">
        <f>+NETWORKDAYS.INTL(C20,IF(Rohdaten[[#This Row],[bis_Datum]]&gt;=EOMONTH(Rohdaten[[#This Row],[von_Datum]],0),EOMONTH(Rohdaten[[#This Row],[von_Datum]],0),Rohdaten[[#This Row],[bis_Datum]]),1,Feiertage[[Datum ]])</f>
        <v>2</v>
      </c>
      <c r="H20" s="1">
        <f>+IF(Rohdaten[[#This Row],[Gesamtabwesenheit]]=Rohdaten[[#This Row],[aktueller Monat]],0,NETWORKDAYS.INTL(EOMONTH(Rohdaten[[#This Row],[von_Datum]],0)+1,Rohdaten[[#This Row],[bis_Datum]],1,Feiertage[[Datum ]]))</f>
        <v>0</v>
      </c>
      <c r="I20" s="8">
        <f>EOMONTH(Rohdaten[[#This Row],[von_Datum]],-1)+1</f>
        <v>44835</v>
      </c>
      <c r="J20">
        <f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f>
        <v>0</v>
      </c>
      <c r="K20">
        <f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f>
        <v>0</v>
      </c>
      <c r="L20">
        <f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f>
        <v>0</v>
      </c>
      <c r="M20">
        <f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f>
        <v>1</v>
      </c>
      <c r="N20">
        <f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f>
        <v>1</v>
      </c>
      <c r="O20" s="8">
        <f>EOMONTH(Rohdaten[[#This Row],[bis_Datum]],-1)+1</f>
        <v>44835</v>
      </c>
      <c r="P20">
        <f>+IF(Rohdaten[[#This Row],[Gesamtabwesenheit]]&gt;Rohdaten[[#This Row],[aktueller Monat]],NETWORKDAYS.INTL(EOMONTH(Rohdaten[[#This Row],[von_Datum]],0)+1,Rohdaten[[#This Row],[bis_Datum]],"0111111",Feiertage[[Datum ]]),0)</f>
        <v>0</v>
      </c>
      <c r="Q20">
        <f>+IF(Rohdaten[[#This Row],[Gesamtabwesenheit]]&gt;Rohdaten[[#This Row],[aktueller Monat]],NETWORKDAYS.INTL(EOMONTH(Rohdaten[[#This Row],[von_Datum]],0)+1,Rohdaten[[#This Row],[bis_Datum]],"1011111",Feiertage[[Datum ]]),0)</f>
        <v>0</v>
      </c>
      <c r="R20">
        <f>+IF(Rohdaten[[#This Row],[Gesamtabwesenheit]]&gt;Rohdaten[[#This Row],[aktueller Monat]],NETWORKDAYS.INTL(EOMONTH(Rohdaten[[#This Row],[von_Datum]],0)+1,Rohdaten[[#This Row],[bis_Datum]],"1101111",Feiertage[[Datum ]]),0)</f>
        <v>0</v>
      </c>
      <c r="S20">
        <f>+IF(Rohdaten[[#This Row],[Gesamtabwesenheit]]&gt;Rohdaten[[#This Row],[aktueller Monat]],NETWORKDAYS.INTL(EOMONTH(Rohdaten[[#This Row],[von_Datum]],0)+1,Rohdaten[[#This Row],[bis_Datum]],"1110111",Feiertage[[Datum ]]),0)</f>
        <v>0</v>
      </c>
      <c r="T20">
        <f>+IF(Rohdaten[[#This Row],[Gesamtabwesenheit]]&gt;Rohdaten[[#This Row],[aktueller Monat]],NETWORKDAYS.INTL(EOMONTH(Rohdaten[[#This Row],[von_Datum]],0)+1,Rohdaten[[#This Row],[bis_Datum]],"1111011",Feiertage[[Datum ]]),0)</f>
        <v>0</v>
      </c>
    </row>
    <row r="21" spans="1:23" x14ac:dyDescent="0.3">
      <c r="A21" s="41" t="s">
        <v>43</v>
      </c>
      <c r="B21" s="1" t="str">
        <f>VLOOKUP(A21,DIM_Mitarbeiter!A:D,4,FALSE)</f>
        <v>VERW</v>
      </c>
      <c r="C21" s="40">
        <v>44849</v>
      </c>
      <c r="D21" s="40">
        <v>44855</v>
      </c>
      <c r="E21" s="1" t="s">
        <v>84</v>
      </c>
      <c r="F21" s="2">
        <f>+NETWORKDAYS.INTL(C21,D21,1,Feiertage[[Datum ]])</f>
        <v>5</v>
      </c>
      <c r="G21" s="1">
        <f>+NETWORKDAYS.INTL(C21,IF(Rohdaten[[#This Row],[bis_Datum]]&gt;=EOMONTH(Rohdaten[[#This Row],[von_Datum]],0),EOMONTH(Rohdaten[[#This Row],[von_Datum]],0),Rohdaten[[#This Row],[bis_Datum]]),1,Feiertage[[Datum ]])</f>
        <v>5</v>
      </c>
      <c r="H21" s="1">
        <f>+IF(Rohdaten[[#This Row],[Gesamtabwesenheit]]=Rohdaten[[#This Row],[aktueller Monat]],0,NETWORKDAYS.INTL(EOMONTH(Rohdaten[[#This Row],[von_Datum]],0)+1,Rohdaten[[#This Row],[bis_Datum]],1,Feiertage[[Datum ]]))</f>
        <v>0</v>
      </c>
      <c r="I21" s="8">
        <f>EOMONTH(Rohdaten[[#This Row],[von_Datum]],-1)+1</f>
        <v>44835</v>
      </c>
      <c r="J21">
        <f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f>
        <v>1</v>
      </c>
      <c r="K21">
        <f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f>
        <v>1</v>
      </c>
      <c r="L21">
        <f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f>
        <v>1</v>
      </c>
      <c r="M21">
        <f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f>
        <v>1</v>
      </c>
      <c r="N21">
        <f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f>
        <v>1</v>
      </c>
      <c r="O21" s="8">
        <f>EOMONTH(Rohdaten[[#This Row],[bis_Datum]],-1)+1</f>
        <v>44835</v>
      </c>
      <c r="P21">
        <f>+IF(Rohdaten[[#This Row],[Gesamtabwesenheit]]&gt;Rohdaten[[#This Row],[aktueller Monat]],NETWORKDAYS.INTL(EOMONTH(Rohdaten[[#This Row],[von_Datum]],0)+1,Rohdaten[[#This Row],[bis_Datum]],"0111111",Feiertage[[Datum ]]),0)</f>
        <v>0</v>
      </c>
      <c r="Q21">
        <f>+IF(Rohdaten[[#This Row],[Gesamtabwesenheit]]&gt;Rohdaten[[#This Row],[aktueller Monat]],NETWORKDAYS.INTL(EOMONTH(Rohdaten[[#This Row],[von_Datum]],0)+1,Rohdaten[[#This Row],[bis_Datum]],"1011111",Feiertage[[Datum ]]),0)</f>
        <v>0</v>
      </c>
      <c r="R21">
        <f>+IF(Rohdaten[[#This Row],[Gesamtabwesenheit]]&gt;Rohdaten[[#This Row],[aktueller Monat]],NETWORKDAYS.INTL(EOMONTH(Rohdaten[[#This Row],[von_Datum]],0)+1,Rohdaten[[#This Row],[bis_Datum]],"1101111",Feiertage[[Datum ]]),0)</f>
        <v>0</v>
      </c>
      <c r="S21">
        <f>+IF(Rohdaten[[#This Row],[Gesamtabwesenheit]]&gt;Rohdaten[[#This Row],[aktueller Monat]],NETWORKDAYS.INTL(EOMONTH(Rohdaten[[#This Row],[von_Datum]],0)+1,Rohdaten[[#This Row],[bis_Datum]],"1110111",Feiertage[[Datum ]]),0)</f>
        <v>0</v>
      </c>
      <c r="T21">
        <f>+IF(Rohdaten[[#This Row],[Gesamtabwesenheit]]&gt;Rohdaten[[#This Row],[aktueller Monat]],NETWORKDAYS.INTL(EOMONTH(Rohdaten[[#This Row],[von_Datum]],0)+1,Rohdaten[[#This Row],[bis_Datum]],"1111011",Feiertage[[Datum ]]),0)</f>
        <v>0</v>
      </c>
    </row>
    <row r="22" spans="1:23" x14ac:dyDescent="0.3">
      <c r="A22" s="41" t="s">
        <v>46</v>
      </c>
      <c r="B22" s="1" t="str">
        <f>VLOOKUP(A22,DIM_Mitarbeiter!A:D,4,FALSE)</f>
        <v>PROD</v>
      </c>
      <c r="C22" s="40">
        <v>44851</v>
      </c>
      <c r="D22" s="40">
        <v>44864</v>
      </c>
      <c r="E22" s="1" t="s">
        <v>84</v>
      </c>
      <c r="F22" s="2">
        <f>+NETWORKDAYS.INTL(C22,D22,1,Feiertage[[Datum ]])</f>
        <v>10</v>
      </c>
      <c r="G22" s="1">
        <f>+NETWORKDAYS.INTL(C22,IF(Rohdaten[[#This Row],[bis_Datum]]&gt;=EOMONTH(Rohdaten[[#This Row],[von_Datum]],0),EOMONTH(Rohdaten[[#This Row],[von_Datum]],0),Rohdaten[[#This Row],[bis_Datum]]),1,Feiertage[[Datum ]])</f>
        <v>10</v>
      </c>
      <c r="H22" s="1">
        <f>+IF(Rohdaten[[#This Row],[Gesamtabwesenheit]]=Rohdaten[[#This Row],[aktueller Monat]],0,NETWORKDAYS.INTL(EOMONTH(Rohdaten[[#This Row],[von_Datum]],0)+1,Rohdaten[[#This Row],[bis_Datum]],1,Feiertage[[Datum ]]))</f>
        <v>0</v>
      </c>
      <c r="I22" s="8">
        <f>EOMONTH(Rohdaten[[#This Row],[von_Datum]],-1)+1</f>
        <v>44835</v>
      </c>
      <c r="J22">
        <f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f>
        <v>2</v>
      </c>
      <c r="K22">
        <f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f>
        <v>2</v>
      </c>
      <c r="L22">
        <f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f>
        <v>2</v>
      </c>
      <c r="M22">
        <f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f>
        <v>2</v>
      </c>
      <c r="N22">
        <f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f>
        <v>2</v>
      </c>
      <c r="O22" s="8">
        <f>EOMONTH(Rohdaten[[#This Row],[bis_Datum]],-1)+1</f>
        <v>44835</v>
      </c>
      <c r="P22">
        <f>+IF(Rohdaten[[#This Row],[Gesamtabwesenheit]]&gt;Rohdaten[[#This Row],[aktueller Monat]],NETWORKDAYS.INTL(EOMONTH(Rohdaten[[#This Row],[von_Datum]],0)+1,Rohdaten[[#This Row],[bis_Datum]],"0111111",Feiertage[[Datum ]]),0)</f>
        <v>0</v>
      </c>
      <c r="Q22">
        <f>+IF(Rohdaten[[#This Row],[Gesamtabwesenheit]]&gt;Rohdaten[[#This Row],[aktueller Monat]],NETWORKDAYS.INTL(EOMONTH(Rohdaten[[#This Row],[von_Datum]],0)+1,Rohdaten[[#This Row],[bis_Datum]],"1011111",Feiertage[[Datum ]]),0)</f>
        <v>0</v>
      </c>
      <c r="R22">
        <f>+IF(Rohdaten[[#This Row],[Gesamtabwesenheit]]&gt;Rohdaten[[#This Row],[aktueller Monat]],NETWORKDAYS.INTL(EOMONTH(Rohdaten[[#This Row],[von_Datum]],0)+1,Rohdaten[[#This Row],[bis_Datum]],"1101111",Feiertage[[Datum ]]),0)</f>
        <v>0</v>
      </c>
      <c r="S22">
        <f>+IF(Rohdaten[[#This Row],[Gesamtabwesenheit]]&gt;Rohdaten[[#This Row],[aktueller Monat]],NETWORKDAYS.INTL(EOMONTH(Rohdaten[[#This Row],[von_Datum]],0)+1,Rohdaten[[#This Row],[bis_Datum]],"1110111",Feiertage[[Datum ]]),0)</f>
        <v>0</v>
      </c>
      <c r="T22">
        <f>+IF(Rohdaten[[#This Row],[Gesamtabwesenheit]]&gt;Rohdaten[[#This Row],[aktueller Monat]],NETWORKDAYS.INTL(EOMONTH(Rohdaten[[#This Row],[von_Datum]],0)+1,Rohdaten[[#This Row],[bis_Datum]],"1111011",Feiertage[[Datum ]]),0)</f>
        <v>0</v>
      </c>
    </row>
    <row r="23" spans="1:23" x14ac:dyDescent="0.3">
      <c r="A23" s="41" t="s">
        <v>56</v>
      </c>
      <c r="B23" s="1" t="str">
        <f>VLOOKUP(A23,DIM_Mitarbeiter!A:D,4,FALSE)</f>
        <v>VERKAUF</v>
      </c>
      <c r="C23" s="40">
        <v>44855</v>
      </c>
      <c r="D23" s="40">
        <v>44857</v>
      </c>
      <c r="E23" s="1" t="s">
        <v>82</v>
      </c>
      <c r="F23" s="2">
        <f>+NETWORKDAYS.INTL(C23,D23,1,Feiertage[[Datum ]])</f>
        <v>1</v>
      </c>
      <c r="G23" s="1">
        <f>+NETWORKDAYS.INTL(C23,IF(Rohdaten[[#This Row],[bis_Datum]]&gt;=EOMONTH(Rohdaten[[#This Row],[von_Datum]],0),EOMONTH(Rohdaten[[#This Row],[von_Datum]],0),Rohdaten[[#This Row],[bis_Datum]]),1,Feiertage[[Datum ]])</f>
        <v>1</v>
      </c>
      <c r="H23" s="1">
        <f>+IF(Rohdaten[[#This Row],[Gesamtabwesenheit]]=Rohdaten[[#This Row],[aktueller Monat]],0,NETWORKDAYS.INTL(EOMONTH(Rohdaten[[#This Row],[von_Datum]],0)+1,Rohdaten[[#This Row],[bis_Datum]],1,Feiertage[[Datum ]]))</f>
        <v>0</v>
      </c>
      <c r="I23" s="8">
        <f>EOMONTH(Rohdaten[[#This Row],[von_Datum]],-1)+1</f>
        <v>44835</v>
      </c>
      <c r="J23">
        <f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f>
        <v>0</v>
      </c>
      <c r="K23">
        <f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f>
        <v>0</v>
      </c>
      <c r="L23">
        <f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f>
        <v>0</v>
      </c>
      <c r="M23">
        <f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f>
        <v>0</v>
      </c>
      <c r="N23">
        <f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f>
        <v>1</v>
      </c>
      <c r="O23" s="8">
        <f>EOMONTH(Rohdaten[[#This Row],[bis_Datum]],-1)+1</f>
        <v>44835</v>
      </c>
      <c r="P23">
        <f>+IF(Rohdaten[[#This Row],[Gesamtabwesenheit]]&gt;Rohdaten[[#This Row],[aktueller Monat]],NETWORKDAYS.INTL(EOMONTH(Rohdaten[[#This Row],[von_Datum]],0)+1,Rohdaten[[#This Row],[bis_Datum]],"0111111",Feiertage[[Datum ]]),0)</f>
        <v>0</v>
      </c>
      <c r="Q23">
        <f>+IF(Rohdaten[[#This Row],[Gesamtabwesenheit]]&gt;Rohdaten[[#This Row],[aktueller Monat]],NETWORKDAYS.INTL(EOMONTH(Rohdaten[[#This Row],[von_Datum]],0)+1,Rohdaten[[#This Row],[bis_Datum]],"1011111",Feiertage[[Datum ]]),0)</f>
        <v>0</v>
      </c>
      <c r="R23">
        <f>+IF(Rohdaten[[#This Row],[Gesamtabwesenheit]]&gt;Rohdaten[[#This Row],[aktueller Monat]],NETWORKDAYS.INTL(EOMONTH(Rohdaten[[#This Row],[von_Datum]],0)+1,Rohdaten[[#This Row],[bis_Datum]],"1101111",Feiertage[[Datum ]]),0)</f>
        <v>0</v>
      </c>
      <c r="S23">
        <f>+IF(Rohdaten[[#This Row],[Gesamtabwesenheit]]&gt;Rohdaten[[#This Row],[aktueller Monat]],NETWORKDAYS.INTL(EOMONTH(Rohdaten[[#This Row],[von_Datum]],0)+1,Rohdaten[[#This Row],[bis_Datum]],"1110111",Feiertage[[Datum ]]),0)</f>
        <v>0</v>
      </c>
      <c r="T23">
        <f>+IF(Rohdaten[[#This Row],[Gesamtabwesenheit]]&gt;Rohdaten[[#This Row],[aktueller Monat]],NETWORKDAYS.INTL(EOMONTH(Rohdaten[[#This Row],[von_Datum]],0)+1,Rohdaten[[#This Row],[bis_Datum]],"1111011",Feiertage[[Datum ]]),0)</f>
        <v>0</v>
      </c>
    </row>
    <row r="24" spans="1:23" x14ac:dyDescent="0.3">
      <c r="A24" s="41" t="s">
        <v>60</v>
      </c>
      <c r="B24" s="1" t="str">
        <f>VLOOKUP(A24,DIM_Mitarbeiter!A:D,4,FALSE)</f>
        <v>VERKAUF</v>
      </c>
      <c r="C24" s="40">
        <v>44857</v>
      </c>
      <c r="D24" s="40">
        <v>44862</v>
      </c>
      <c r="E24" s="1" t="s">
        <v>84</v>
      </c>
      <c r="F24" s="2">
        <f>+NETWORKDAYS.INTL(C24,D24,1,Feiertage[[Datum ]])</f>
        <v>5</v>
      </c>
      <c r="G24">
        <f>+NETWORKDAYS.INTL(C24,IF(Rohdaten[[#This Row],[bis_Datum]]&gt;=EOMONTH(Rohdaten[[#This Row],[von_Datum]],0),EOMONTH(Rohdaten[[#This Row],[von_Datum]],0),Rohdaten[[#This Row],[bis_Datum]]),1,Feiertage[[Datum ]])</f>
        <v>5</v>
      </c>
      <c r="H24" s="2">
        <f>+IF(Rohdaten[[#This Row],[Gesamtabwesenheit]]=Rohdaten[[#This Row],[aktueller Monat]],0,NETWORKDAYS.INTL(EOMONTH(Rohdaten[[#This Row],[von_Datum]],0)+1,Rohdaten[[#This Row],[bis_Datum]],1,Feiertage[[Datum ]]))</f>
        <v>0</v>
      </c>
      <c r="I24" s="8">
        <f>EOMONTH(Rohdaten[[#This Row],[von_Datum]],-1)+1</f>
        <v>44835</v>
      </c>
      <c r="J24">
        <f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f>
        <v>1</v>
      </c>
      <c r="K24">
        <f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f>
        <v>1</v>
      </c>
      <c r="L24">
        <f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f>
        <v>1</v>
      </c>
      <c r="M24">
        <f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f>
        <v>1</v>
      </c>
      <c r="N24">
        <f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f>
        <v>1</v>
      </c>
      <c r="O24" s="8">
        <f>EOMONTH(Rohdaten[[#This Row],[bis_Datum]],-1)+1</f>
        <v>44835</v>
      </c>
      <c r="P24">
        <f>+IF(Rohdaten[[#This Row],[Gesamtabwesenheit]]&gt;Rohdaten[[#This Row],[aktueller Monat]],NETWORKDAYS.INTL(EOMONTH(Rohdaten[[#This Row],[von_Datum]],0)+1,Rohdaten[[#This Row],[bis_Datum]],"0111111",Feiertage[[Datum ]]),0)</f>
        <v>0</v>
      </c>
      <c r="Q24">
        <f>+IF(Rohdaten[[#This Row],[Gesamtabwesenheit]]&gt;Rohdaten[[#This Row],[aktueller Monat]],NETWORKDAYS.INTL(EOMONTH(Rohdaten[[#This Row],[von_Datum]],0)+1,Rohdaten[[#This Row],[bis_Datum]],"1011111",Feiertage[[Datum ]]),0)</f>
        <v>0</v>
      </c>
      <c r="R24">
        <f>+IF(Rohdaten[[#This Row],[Gesamtabwesenheit]]&gt;Rohdaten[[#This Row],[aktueller Monat]],NETWORKDAYS.INTL(EOMONTH(Rohdaten[[#This Row],[von_Datum]],0)+1,Rohdaten[[#This Row],[bis_Datum]],"1101111",Feiertage[[Datum ]]),0)</f>
        <v>0</v>
      </c>
      <c r="S24">
        <f>+IF(Rohdaten[[#This Row],[Gesamtabwesenheit]]&gt;Rohdaten[[#This Row],[aktueller Monat]],NETWORKDAYS.INTL(EOMONTH(Rohdaten[[#This Row],[von_Datum]],0)+1,Rohdaten[[#This Row],[bis_Datum]],"1110111",Feiertage[[Datum ]]),0)</f>
        <v>0</v>
      </c>
      <c r="T24">
        <f>+IF(Rohdaten[[#This Row],[Gesamtabwesenheit]]&gt;Rohdaten[[#This Row],[aktueller Monat]],NETWORKDAYS.INTL(EOMONTH(Rohdaten[[#This Row],[von_Datum]],0)+1,Rohdaten[[#This Row],[bis_Datum]],"1111011",Feiertage[[Datum ]]),0)</f>
        <v>0</v>
      </c>
    </row>
    <row r="25" spans="1:23" x14ac:dyDescent="0.3">
      <c r="A25" s="41" t="s">
        <v>43</v>
      </c>
      <c r="B25" s="2" t="str">
        <f>VLOOKUP(A25,DIM_Mitarbeiter!A:D,4,FALSE)</f>
        <v>VERW</v>
      </c>
      <c r="C25" s="42">
        <v>44859</v>
      </c>
      <c r="D25" s="42">
        <v>44866</v>
      </c>
      <c r="E25" s="2" t="s">
        <v>84</v>
      </c>
      <c r="F25" s="2">
        <f>+NETWORKDAYS.INTL(C25,D25,1,Feiertage[[Datum ]])</f>
        <v>5</v>
      </c>
      <c r="G25" s="2">
        <f>+NETWORKDAYS.INTL(C25,IF(Rohdaten[[#This Row],[bis_Datum]]&gt;=EOMONTH(Rohdaten[[#This Row],[von_Datum]],0),EOMONTH(Rohdaten[[#This Row],[von_Datum]],0),Rohdaten[[#This Row],[bis_Datum]]),1,Feiertage[[Datum ]])</f>
        <v>5</v>
      </c>
      <c r="H25" s="2">
        <f>+IF(Rohdaten[[#This Row],[Gesamtabwesenheit]]=Rohdaten[[#This Row],[aktueller Monat]],0,NETWORKDAYS.INTL(EOMONTH(Rohdaten[[#This Row],[von_Datum]],0)+1,Rohdaten[[#This Row],[bis_Datum]],1,Feiertage[[Datum ]]))</f>
        <v>0</v>
      </c>
      <c r="I25" s="8">
        <f>EOMONTH(Rohdaten[[#This Row],[von_Datum]],-1)+1</f>
        <v>44835</v>
      </c>
      <c r="J25">
        <f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f>
        <v>1</v>
      </c>
      <c r="K25">
        <f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f>
        <v>1</v>
      </c>
      <c r="L25">
        <f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f>
        <v>1</v>
      </c>
      <c r="M25">
        <f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f>
        <v>1</v>
      </c>
      <c r="N25">
        <f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f>
        <v>1</v>
      </c>
      <c r="O25" s="8">
        <f>EOMONTH(Rohdaten[[#This Row],[bis_Datum]],-1)+1</f>
        <v>44866</v>
      </c>
      <c r="P25">
        <f>+IF(Rohdaten[[#This Row],[Gesamtabwesenheit]]&gt;Rohdaten[[#This Row],[aktueller Monat]],NETWORKDAYS.INTL(EOMONTH(Rohdaten[[#This Row],[von_Datum]],0)+1,Rohdaten[[#This Row],[bis_Datum]],"0111111",Feiertage[[Datum ]]),0)</f>
        <v>0</v>
      </c>
      <c r="Q25">
        <f>+IF(Rohdaten[[#This Row],[Gesamtabwesenheit]]&gt;Rohdaten[[#This Row],[aktueller Monat]],NETWORKDAYS.INTL(EOMONTH(Rohdaten[[#This Row],[von_Datum]],0)+1,Rohdaten[[#This Row],[bis_Datum]],"1011111",Feiertage[[Datum ]]),0)</f>
        <v>0</v>
      </c>
      <c r="R25">
        <f>+IF(Rohdaten[[#This Row],[Gesamtabwesenheit]]&gt;Rohdaten[[#This Row],[aktueller Monat]],NETWORKDAYS.INTL(EOMONTH(Rohdaten[[#This Row],[von_Datum]],0)+1,Rohdaten[[#This Row],[bis_Datum]],"1101111",Feiertage[[Datum ]]),0)</f>
        <v>0</v>
      </c>
      <c r="S25">
        <f>+IF(Rohdaten[[#This Row],[Gesamtabwesenheit]]&gt;Rohdaten[[#This Row],[aktueller Monat]],NETWORKDAYS.INTL(EOMONTH(Rohdaten[[#This Row],[von_Datum]],0)+1,Rohdaten[[#This Row],[bis_Datum]],"1110111",Feiertage[[Datum ]]),0)</f>
        <v>0</v>
      </c>
      <c r="T25">
        <f>+IF(Rohdaten[[#This Row],[Gesamtabwesenheit]]&gt;Rohdaten[[#This Row],[aktueller Monat]],NETWORKDAYS.INTL(EOMONTH(Rohdaten[[#This Row],[von_Datum]],0)+1,Rohdaten[[#This Row],[bis_Datum]],"1111011",Feiertage[[Datum ]]),0)</f>
        <v>0</v>
      </c>
    </row>
    <row r="26" spans="1:23" x14ac:dyDescent="0.3">
      <c r="A26" s="41" t="s">
        <v>56</v>
      </c>
      <c r="B26" s="2" t="str">
        <f>VLOOKUP(A26,DIM_Mitarbeiter!A:D,4,FALSE)</f>
        <v>VERKAUF</v>
      </c>
      <c r="C26" s="42">
        <v>44864</v>
      </c>
      <c r="D26" s="42">
        <v>44867</v>
      </c>
      <c r="E26" s="2" t="s">
        <v>82</v>
      </c>
      <c r="F26" s="2">
        <f>+NETWORKDAYS.INTL(C26,D26,1,Feiertage[[Datum ]])</f>
        <v>2</v>
      </c>
      <c r="G26" s="2">
        <f>+NETWORKDAYS.INTL(C26,IF(Rohdaten[[#This Row],[bis_Datum]]&gt;=EOMONTH(Rohdaten[[#This Row],[von_Datum]],0),EOMONTH(Rohdaten[[#This Row],[von_Datum]],0),Rohdaten[[#This Row],[bis_Datum]]),1,Feiertage[[Datum ]])</f>
        <v>1</v>
      </c>
      <c r="H26" s="2">
        <f>+IF(Rohdaten[[#This Row],[Gesamtabwesenheit]]=Rohdaten[[#This Row],[aktueller Monat]],0,NETWORKDAYS.INTL(EOMONTH(Rohdaten[[#This Row],[von_Datum]],0)+1,Rohdaten[[#This Row],[bis_Datum]],1,Feiertage[[Datum ]]))</f>
        <v>1</v>
      </c>
      <c r="I26" s="8">
        <f>EOMONTH(Rohdaten[[#This Row],[von_Datum]],-1)+1</f>
        <v>44835</v>
      </c>
      <c r="J26">
        <f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f>
        <v>1</v>
      </c>
      <c r="K26">
        <f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f>
        <v>0</v>
      </c>
      <c r="L26">
        <f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f>
        <v>0</v>
      </c>
      <c r="M26">
        <f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f>
        <v>0</v>
      </c>
      <c r="N26">
        <f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f>
        <v>0</v>
      </c>
      <c r="O26" s="8">
        <f>EOMONTH(Rohdaten[[#This Row],[bis_Datum]],-1)+1</f>
        <v>44866</v>
      </c>
      <c r="P26">
        <f>+IF(Rohdaten[[#This Row],[Gesamtabwesenheit]]&gt;Rohdaten[[#This Row],[aktueller Monat]],NETWORKDAYS.INTL(EOMONTH(Rohdaten[[#This Row],[von_Datum]],0)+1,Rohdaten[[#This Row],[bis_Datum]],"0111111",Feiertage[[Datum ]]),0)</f>
        <v>0</v>
      </c>
      <c r="Q26">
        <f>+IF(Rohdaten[[#This Row],[Gesamtabwesenheit]]&gt;Rohdaten[[#This Row],[aktueller Monat]],NETWORKDAYS.INTL(EOMONTH(Rohdaten[[#This Row],[von_Datum]],0)+1,Rohdaten[[#This Row],[bis_Datum]],"1011111",Feiertage[[Datum ]]),0)</f>
        <v>0</v>
      </c>
      <c r="R26">
        <f>+IF(Rohdaten[[#This Row],[Gesamtabwesenheit]]&gt;Rohdaten[[#This Row],[aktueller Monat]],NETWORKDAYS.INTL(EOMONTH(Rohdaten[[#This Row],[von_Datum]],0)+1,Rohdaten[[#This Row],[bis_Datum]],"1101111",Feiertage[[Datum ]]),0)</f>
        <v>1</v>
      </c>
      <c r="S26">
        <f>+IF(Rohdaten[[#This Row],[Gesamtabwesenheit]]&gt;Rohdaten[[#This Row],[aktueller Monat]],NETWORKDAYS.INTL(EOMONTH(Rohdaten[[#This Row],[von_Datum]],0)+1,Rohdaten[[#This Row],[bis_Datum]],"1110111",Feiertage[[Datum ]]),0)</f>
        <v>0</v>
      </c>
      <c r="T26">
        <f>+IF(Rohdaten[[#This Row],[Gesamtabwesenheit]]&gt;Rohdaten[[#This Row],[aktueller Monat]],NETWORKDAYS.INTL(EOMONTH(Rohdaten[[#This Row],[von_Datum]],0)+1,Rohdaten[[#This Row],[bis_Datum]],"1111011",Feiertage[[Datum ]]),0)</f>
        <v>0</v>
      </c>
    </row>
    <row r="27" spans="1:23" x14ac:dyDescent="0.3">
      <c r="A27" s="41" t="s">
        <v>43</v>
      </c>
      <c r="B27" s="1" t="str">
        <f>VLOOKUP(A27,DIM_Mitarbeiter!A:D,4,FALSE)</f>
        <v>VERW</v>
      </c>
      <c r="C27" s="3">
        <v>44870</v>
      </c>
      <c r="D27" s="3">
        <v>44873</v>
      </c>
      <c r="E27" s="1" t="s">
        <v>82</v>
      </c>
      <c r="F27" s="2">
        <f>+NETWORKDAYS.INTL(C27,D27,1,Feiertage[[Datum ]])</f>
        <v>2</v>
      </c>
      <c r="G27" s="1">
        <f>+NETWORKDAYS.INTL(C27,IF(Rohdaten[[#This Row],[bis_Datum]]&gt;=EOMONTH(Rohdaten[[#This Row],[von_Datum]],0),EOMONTH(Rohdaten[[#This Row],[von_Datum]],0),Rohdaten[[#This Row],[bis_Datum]]),1,Feiertage[[Datum ]])</f>
        <v>2</v>
      </c>
      <c r="H27" s="1">
        <f>+IF(Rohdaten[[#This Row],[Gesamtabwesenheit]]=Rohdaten[[#This Row],[aktueller Monat]],0,NETWORKDAYS.INTL(EOMONTH(Rohdaten[[#This Row],[von_Datum]],0)+1,Rohdaten[[#This Row],[bis_Datum]],1,Feiertage[[Datum ]]))</f>
        <v>0</v>
      </c>
      <c r="I27" s="8">
        <f>EOMONTH(Rohdaten[[#This Row],[von_Datum]],-1)+1</f>
        <v>44866</v>
      </c>
      <c r="J27">
        <f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f>
        <v>1</v>
      </c>
      <c r="K27">
        <f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f>
        <v>1</v>
      </c>
      <c r="L27">
        <f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f>
        <v>0</v>
      </c>
      <c r="M27">
        <f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f>
        <v>0</v>
      </c>
      <c r="N27">
        <f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f>
        <v>0</v>
      </c>
      <c r="O27" s="8">
        <f>EOMONTH(Rohdaten[[#This Row],[bis_Datum]],-1)+1</f>
        <v>44866</v>
      </c>
      <c r="P27">
        <f>+IF(Rohdaten[[#This Row],[Gesamtabwesenheit]]&gt;Rohdaten[[#This Row],[aktueller Monat]],NETWORKDAYS.INTL(EOMONTH(Rohdaten[[#This Row],[von_Datum]],0)+1,Rohdaten[[#This Row],[bis_Datum]],"0111111",Feiertage[[Datum ]]),0)</f>
        <v>0</v>
      </c>
      <c r="Q27">
        <f>+IF(Rohdaten[[#This Row],[Gesamtabwesenheit]]&gt;Rohdaten[[#This Row],[aktueller Monat]],NETWORKDAYS.INTL(EOMONTH(Rohdaten[[#This Row],[von_Datum]],0)+1,Rohdaten[[#This Row],[bis_Datum]],"1011111",Feiertage[[Datum ]]),0)</f>
        <v>0</v>
      </c>
      <c r="R27">
        <f>+IF(Rohdaten[[#This Row],[Gesamtabwesenheit]]&gt;Rohdaten[[#This Row],[aktueller Monat]],NETWORKDAYS.INTL(EOMONTH(Rohdaten[[#This Row],[von_Datum]],0)+1,Rohdaten[[#This Row],[bis_Datum]],"1101111",Feiertage[[Datum ]]),0)</f>
        <v>0</v>
      </c>
      <c r="S27">
        <f>+IF(Rohdaten[[#This Row],[Gesamtabwesenheit]]&gt;Rohdaten[[#This Row],[aktueller Monat]],NETWORKDAYS.INTL(EOMONTH(Rohdaten[[#This Row],[von_Datum]],0)+1,Rohdaten[[#This Row],[bis_Datum]],"1110111",Feiertage[[Datum ]]),0)</f>
        <v>0</v>
      </c>
      <c r="T27">
        <f>+IF(Rohdaten[[#This Row],[Gesamtabwesenheit]]&gt;Rohdaten[[#This Row],[aktueller Monat]],NETWORKDAYS.INTL(EOMONTH(Rohdaten[[#This Row],[von_Datum]],0)+1,Rohdaten[[#This Row],[bis_Datum]],"1111011",Feiertage[[Datum ]]),0)</f>
        <v>0</v>
      </c>
      <c r="V27" s="3"/>
      <c r="W27" s="3"/>
    </row>
    <row r="28" spans="1:23" x14ac:dyDescent="0.3">
      <c r="A28" s="41" t="s">
        <v>39</v>
      </c>
      <c r="B28" s="1" t="str">
        <f>VLOOKUP(A28,DIM_Mitarbeiter!A:D,4,FALSE)</f>
        <v>VERW</v>
      </c>
      <c r="C28" s="3">
        <v>44870</v>
      </c>
      <c r="D28" s="3">
        <v>44872</v>
      </c>
      <c r="E28" s="1" t="s">
        <v>82</v>
      </c>
      <c r="F28" s="2">
        <f>+NETWORKDAYS.INTL(C28,D28,1,Feiertage[[Datum ]])</f>
        <v>1</v>
      </c>
      <c r="G28" s="1">
        <f>+NETWORKDAYS.INTL(C28,IF(Rohdaten[[#This Row],[bis_Datum]]&gt;=EOMONTH(Rohdaten[[#This Row],[von_Datum]],0),EOMONTH(Rohdaten[[#This Row],[von_Datum]],0),Rohdaten[[#This Row],[bis_Datum]]),1,Feiertage[[Datum ]])</f>
        <v>1</v>
      </c>
      <c r="H28" s="1">
        <f>+IF(Rohdaten[[#This Row],[Gesamtabwesenheit]]=Rohdaten[[#This Row],[aktueller Monat]],0,NETWORKDAYS.INTL(EOMONTH(Rohdaten[[#This Row],[von_Datum]],0)+1,Rohdaten[[#This Row],[bis_Datum]],1,Feiertage[[Datum ]]))</f>
        <v>0</v>
      </c>
      <c r="I28" s="8">
        <f>EOMONTH(Rohdaten[[#This Row],[von_Datum]],-1)+1</f>
        <v>44866</v>
      </c>
      <c r="J28">
        <f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f>
        <v>1</v>
      </c>
      <c r="K28">
        <f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f>
        <v>0</v>
      </c>
      <c r="L28">
        <f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f>
        <v>0</v>
      </c>
      <c r="M28">
        <f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f>
        <v>0</v>
      </c>
      <c r="N28">
        <f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f>
        <v>0</v>
      </c>
      <c r="O28" s="8">
        <f>EOMONTH(Rohdaten[[#This Row],[bis_Datum]],-1)+1</f>
        <v>44866</v>
      </c>
      <c r="P28">
        <f>+IF(Rohdaten[[#This Row],[Gesamtabwesenheit]]&gt;Rohdaten[[#This Row],[aktueller Monat]],NETWORKDAYS.INTL(EOMONTH(Rohdaten[[#This Row],[von_Datum]],0)+1,Rohdaten[[#This Row],[bis_Datum]],"0111111",Feiertage[[Datum ]]),0)</f>
        <v>0</v>
      </c>
      <c r="Q28">
        <f>+IF(Rohdaten[[#This Row],[Gesamtabwesenheit]]&gt;Rohdaten[[#This Row],[aktueller Monat]],NETWORKDAYS.INTL(EOMONTH(Rohdaten[[#This Row],[von_Datum]],0)+1,Rohdaten[[#This Row],[bis_Datum]],"1011111",Feiertage[[Datum ]]),0)</f>
        <v>0</v>
      </c>
      <c r="R28">
        <f>+IF(Rohdaten[[#This Row],[Gesamtabwesenheit]]&gt;Rohdaten[[#This Row],[aktueller Monat]],NETWORKDAYS.INTL(EOMONTH(Rohdaten[[#This Row],[von_Datum]],0)+1,Rohdaten[[#This Row],[bis_Datum]],"1101111",Feiertage[[Datum ]]),0)</f>
        <v>0</v>
      </c>
      <c r="S28">
        <f>+IF(Rohdaten[[#This Row],[Gesamtabwesenheit]]&gt;Rohdaten[[#This Row],[aktueller Monat]],NETWORKDAYS.INTL(EOMONTH(Rohdaten[[#This Row],[von_Datum]],0)+1,Rohdaten[[#This Row],[bis_Datum]],"1110111",Feiertage[[Datum ]]),0)</f>
        <v>0</v>
      </c>
      <c r="T28">
        <f>+IF(Rohdaten[[#This Row],[Gesamtabwesenheit]]&gt;Rohdaten[[#This Row],[aktueller Monat]],NETWORKDAYS.INTL(EOMONTH(Rohdaten[[#This Row],[von_Datum]],0)+1,Rohdaten[[#This Row],[bis_Datum]],"1111011",Feiertage[[Datum ]]),0)</f>
        <v>0</v>
      </c>
      <c r="V28" s="3"/>
      <c r="W28" s="3"/>
    </row>
    <row r="29" spans="1:23" x14ac:dyDescent="0.3">
      <c r="A29" s="44" t="s">
        <v>69</v>
      </c>
      <c r="B29" s="52" t="str">
        <f>VLOOKUP(A29,DIM_Mitarbeiter!A:D,4,FALSE)</f>
        <v>VERKAUF</v>
      </c>
      <c r="C29" s="54">
        <v>44872</v>
      </c>
      <c r="D29" s="54">
        <v>44875</v>
      </c>
      <c r="E29" s="52" t="s">
        <v>82</v>
      </c>
      <c r="F29" s="2">
        <f>+NETWORKDAYS.INTL(C29,D29,1,Feiertage[[Datum ]])</f>
        <v>4</v>
      </c>
      <c r="G29" s="1">
        <f>+NETWORKDAYS.INTL(C29,IF(Rohdaten[[#This Row],[bis_Datum]]&gt;=EOMONTH(Rohdaten[[#This Row],[von_Datum]],0),EOMONTH(Rohdaten[[#This Row],[von_Datum]],0),Rohdaten[[#This Row],[bis_Datum]]),1,Feiertage[[Datum ]])</f>
        <v>4</v>
      </c>
      <c r="H29" s="1">
        <f>+IF(Rohdaten[[#This Row],[Gesamtabwesenheit]]=Rohdaten[[#This Row],[aktueller Monat]],0,NETWORKDAYS.INTL(EOMONTH(Rohdaten[[#This Row],[von_Datum]],0)+1,Rohdaten[[#This Row],[bis_Datum]],1,Feiertage[[Datum ]]))</f>
        <v>0</v>
      </c>
      <c r="I29" s="8">
        <f>EOMONTH(Rohdaten[[#This Row],[von_Datum]],-1)+1</f>
        <v>44866</v>
      </c>
      <c r="J29">
        <f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f>
        <v>1</v>
      </c>
      <c r="K29">
        <f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f>
        <v>1</v>
      </c>
      <c r="L29">
        <f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f>
        <v>1</v>
      </c>
      <c r="M29">
        <f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f>
        <v>1</v>
      </c>
      <c r="N29">
        <f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f>
        <v>0</v>
      </c>
      <c r="O29" s="8">
        <f>EOMONTH(Rohdaten[[#This Row],[bis_Datum]],-1)+1</f>
        <v>44866</v>
      </c>
      <c r="P29">
        <f>+IF(Rohdaten[[#This Row],[Gesamtabwesenheit]]&gt;Rohdaten[[#This Row],[aktueller Monat]],NETWORKDAYS.INTL(EOMONTH(Rohdaten[[#This Row],[von_Datum]],0)+1,Rohdaten[[#This Row],[bis_Datum]],"0111111",Feiertage[[Datum ]]),0)</f>
        <v>0</v>
      </c>
      <c r="Q29">
        <f>+IF(Rohdaten[[#This Row],[Gesamtabwesenheit]]&gt;Rohdaten[[#This Row],[aktueller Monat]],NETWORKDAYS.INTL(EOMONTH(Rohdaten[[#This Row],[von_Datum]],0)+1,Rohdaten[[#This Row],[bis_Datum]],"1011111",Feiertage[[Datum ]]),0)</f>
        <v>0</v>
      </c>
      <c r="R29">
        <f>+IF(Rohdaten[[#This Row],[Gesamtabwesenheit]]&gt;Rohdaten[[#This Row],[aktueller Monat]],NETWORKDAYS.INTL(EOMONTH(Rohdaten[[#This Row],[von_Datum]],0)+1,Rohdaten[[#This Row],[bis_Datum]],"1101111",Feiertage[[Datum ]]),0)</f>
        <v>0</v>
      </c>
      <c r="S29">
        <f>+IF(Rohdaten[[#This Row],[Gesamtabwesenheit]]&gt;Rohdaten[[#This Row],[aktueller Monat]],NETWORKDAYS.INTL(EOMONTH(Rohdaten[[#This Row],[von_Datum]],0)+1,Rohdaten[[#This Row],[bis_Datum]],"1110111",Feiertage[[Datum ]]),0)</f>
        <v>0</v>
      </c>
      <c r="T29">
        <f>+IF(Rohdaten[[#This Row],[Gesamtabwesenheit]]&gt;Rohdaten[[#This Row],[aktueller Monat]],NETWORKDAYS.INTL(EOMONTH(Rohdaten[[#This Row],[von_Datum]],0)+1,Rohdaten[[#This Row],[bis_Datum]],"1111011",Feiertage[[Datum ]]),0)</f>
        <v>0</v>
      </c>
      <c r="V29" s="3"/>
      <c r="W29" s="3"/>
    </row>
    <row r="30" spans="1:23" x14ac:dyDescent="0.3">
      <c r="A30" s="41" t="s">
        <v>50</v>
      </c>
      <c r="B30" s="1" t="str">
        <f>VLOOKUP(A30,DIM_Mitarbeiter!A:D,4,FALSE)</f>
        <v>PROD</v>
      </c>
      <c r="C30" s="3">
        <v>44873</v>
      </c>
      <c r="D30" s="3">
        <v>44875</v>
      </c>
      <c r="E30" s="1" t="s">
        <v>82</v>
      </c>
      <c r="F30" s="1">
        <f>+NETWORKDAYS.INTL(C30,D30,1,Feiertage[[Datum ]])</f>
        <v>3</v>
      </c>
      <c r="G30" s="1">
        <f>+NETWORKDAYS.INTL(C30,IF(Rohdaten[[#This Row],[bis_Datum]]&gt;=EOMONTH(Rohdaten[[#This Row],[von_Datum]],0),EOMONTH(Rohdaten[[#This Row],[von_Datum]],0),Rohdaten[[#This Row],[bis_Datum]]),1,Feiertage[[Datum ]])</f>
        <v>3</v>
      </c>
      <c r="H30" s="1">
        <f>+IF(Rohdaten[[#This Row],[Gesamtabwesenheit]]=Rohdaten[[#This Row],[aktueller Monat]],0,NETWORKDAYS.INTL(EOMONTH(Rohdaten[[#This Row],[von_Datum]],0)+1,Rohdaten[[#This Row],[bis_Datum]],1,Feiertage[[Datum ]]))</f>
        <v>0</v>
      </c>
      <c r="I30" s="8">
        <f>EOMONTH(Rohdaten[[#This Row],[von_Datum]],-1)+1</f>
        <v>44866</v>
      </c>
      <c r="J30">
        <f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f>
        <v>0</v>
      </c>
      <c r="K30">
        <f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f>
        <v>1</v>
      </c>
      <c r="L30">
        <f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f>
        <v>1</v>
      </c>
      <c r="M30">
        <f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f>
        <v>1</v>
      </c>
      <c r="N30">
        <f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f>
        <v>0</v>
      </c>
      <c r="O30" s="8">
        <f>EOMONTH(Rohdaten[[#This Row],[bis_Datum]],-1)+1</f>
        <v>44866</v>
      </c>
      <c r="P30">
        <f>+IF(Rohdaten[[#This Row],[Gesamtabwesenheit]]&gt;Rohdaten[[#This Row],[aktueller Monat]],NETWORKDAYS.INTL(EOMONTH(Rohdaten[[#This Row],[von_Datum]],0)+1,Rohdaten[[#This Row],[bis_Datum]],"0111111",Feiertage[[Datum ]]),0)</f>
        <v>0</v>
      </c>
      <c r="Q30">
        <f>+IF(Rohdaten[[#This Row],[Gesamtabwesenheit]]&gt;Rohdaten[[#This Row],[aktueller Monat]],NETWORKDAYS.INTL(EOMONTH(Rohdaten[[#This Row],[von_Datum]],0)+1,Rohdaten[[#This Row],[bis_Datum]],"1011111",Feiertage[[Datum ]]),0)</f>
        <v>0</v>
      </c>
      <c r="R30">
        <f>+IF(Rohdaten[[#This Row],[Gesamtabwesenheit]]&gt;Rohdaten[[#This Row],[aktueller Monat]],NETWORKDAYS.INTL(EOMONTH(Rohdaten[[#This Row],[von_Datum]],0)+1,Rohdaten[[#This Row],[bis_Datum]],"1101111",Feiertage[[Datum ]]),0)</f>
        <v>0</v>
      </c>
      <c r="S30">
        <f>+IF(Rohdaten[[#This Row],[Gesamtabwesenheit]]&gt;Rohdaten[[#This Row],[aktueller Monat]],NETWORKDAYS.INTL(EOMONTH(Rohdaten[[#This Row],[von_Datum]],0)+1,Rohdaten[[#This Row],[bis_Datum]],"1110111",Feiertage[[Datum ]]),0)</f>
        <v>0</v>
      </c>
      <c r="T30">
        <f>+IF(Rohdaten[[#This Row],[Gesamtabwesenheit]]&gt;Rohdaten[[#This Row],[aktueller Monat]],NETWORKDAYS.INTL(EOMONTH(Rohdaten[[#This Row],[von_Datum]],0)+1,Rohdaten[[#This Row],[bis_Datum]],"1111011",Feiertage[[Datum ]]),0)</f>
        <v>0</v>
      </c>
      <c r="V30" s="3"/>
      <c r="W30" s="3"/>
    </row>
    <row r="31" spans="1:23" x14ac:dyDescent="0.3">
      <c r="A31" s="41" t="s">
        <v>53</v>
      </c>
      <c r="B31" s="1" t="str">
        <f>VLOOKUP(A31,DIM_Mitarbeiter!A:D,4,FALSE)</f>
        <v>PROD</v>
      </c>
      <c r="C31" s="3">
        <v>44877</v>
      </c>
      <c r="D31" s="3">
        <v>44885</v>
      </c>
      <c r="E31" s="1" t="s">
        <v>82</v>
      </c>
      <c r="F31" s="1">
        <f>+NETWORKDAYS.INTL(C31,D31,1,Feiertage[[Datum ]])</f>
        <v>5</v>
      </c>
      <c r="G31" s="1">
        <f>+NETWORKDAYS.INTL(C31,IF(Rohdaten[[#This Row],[bis_Datum]]&gt;=EOMONTH(Rohdaten[[#This Row],[von_Datum]],0),EOMONTH(Rohdaten[[#This Row],[von_Datum]],0),Rohdaten[[#This Row],[bis_Datum]]),1,Feiertage[[Datum ]])</f>
        <v>5</v>
      </c>
      <c r="H31" s="1">
        <f>+IF(Rohdaten[[#This Row],[Gesamtabwesenheit]]=Rohdaten[[#This Row],[aktueller Monat]],0,NETWORKDAYS.INTL(EOMONTH(Rohdaten[[#This Row],[von_Datum]],0)+1,Rohdaten[[#This Row],[bis_Datum]],1,Feiertage[[Datum ]]))</f>
        <v>0</v>
      </c>
      <c r="I31" s="8">
        <f>EOMONTH(Rohdaten[[#This Row],[von_Datum]],-1)+1</f>
        <v>44866</v>
      </c>
      <c r="J31">
        <f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f>
        <v>1</v>
      </c>
      <c r="K31">
        <f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f>
        <v>1</v>
      </c>
      <c r="L31">
        <f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f>
        <v>1</v>
      </c>
      <c r="M31">
        <f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f>
        <v>1</v>
      </c>
      <c r="N31">
        <f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f>
        <v>1</v>
      </c>
      <c r="O31" s="8">
        <f>EOMONTH(Rohdaten[[#This Row],[bis_Datum]],-1)+1</f>
        <v>44866</v>
      </c>
      <c r="P31">
        <f>+IF(Rohdaten[[#This Row],[Gesamtabwesenheit]]&gt;Rohdaten[[#This Row],[aktueller Monat]],NETWORKDAYS.INTL(EOMONTH(Rohdaten[[#This Row],[von_Datum]],0)+1,Rohdaten[[#This Row],[bis_Datum]],"0111111",Feiertage[[Datum ]]),0)</f>
        <v>0</v>
      </c>
      <c r="Q31">
        <f>+IF(Rohdaten[[#This Row],[Gesamtabwesenheit]]&gt;Rohdaten[[#This Row],[aktueller Monat]],NETWORKDAYS.INTL(EOMONTH(Rohdaten[[#This Row],[von_Datum]],0)+1,Rohdaten[[#This Row],[bis_Datum]],"1011111",Feiertage[[Datum ]]),0)</f>
        <v>0</v>
      </c>
      <c r="R31">
        <f>+IF(Rohdaten[[#This Row],[Gesamtabwesenheit]]&gt;Rohdaten[[#This Row],[aktueller Monat]],NETWORKDAYS.INTL(EOMONTH(Rohdaten[[#This Row],[von_Datum]],0)+1,Rohdaten[[#This Row],[bis_Datum]],"1101111",Feiertage[[Datum ]]),0)</f>
        <v>0</v>
      </c>
      <c r="S31">
        <f>+IF(Rohdaten[[#This Row],[Gesamtabwesenheit]]&gt;Rohdaten[[#This Row],[aktueller Monat]],NETWORKDAYS.INTL(EOMONTH(Rohdaten[[#This Row],[von_Datum]],0)+1,Rohdaten[[#This Row],[bis_Datum]],"1110111",Feiertage[[Datum ]]),0)</f>
        <v>0</v>
      </c>
      <c r="T31">
        <f>+IF(Rohdaten[[#This Row],[Gesamtabwesenheit]]&gt;Rohdaten[[#This Row],[aktueller Monat]],NETWORKDAYS.INTL(EOMONTH(Rohdaten[[#This Row],[von_Datum]],0)+1,Rohdaten[[#This Row],[bis_Datum]],"1111011",Feiertage[[Datum ]]),0)</f>
        <v>0</v>
      </c>
      <c r="V31" s="3"/>
      <c r="W31" s="3"/>
    </row>
    <row r="32" spans="1:23" x14ac:dyDescent="0.3">
      <c r="A32" s="41" t="s">
        <v>46</v>
      </c>
      <c r="B32" s="1" t="str">
        <f>VLOOKUP(A32,DIM_Mitarbeiter!A:D,4,FALSE)</f>
        <v>PROD</v>
      </c>
      <c r="C32" s="3">
        <v>44878</v>
      </c>
      <c r="D32" s="3">
        <v>44881</v>
      </c>
      <c r="E32" s="1" t="s">
        <v>82</v>
      </c>
      <c r="F32" s="1">
        <f>+NETWORKDAYS.INTL(C32,D32,1,Feiertage[[Datum ]])</f>
        <v>3</v>
      </c>
      <c r="G32" s="1">
        <f>+NETWORKDAYS.INTL(C32,IF(Rohdaten[[#This Row],[bis_Datum]]&gt;=EOMONTH(Rohdaten[[#This Row],[von_Datum]],0),EOMONTH(Rohdaten[[#This Row],[von_Datum]],0),Rohdaten[[#This Row],[bis_Datum]]),1,Feiertage[[Datum ]])</f>
        <v>3</v>
      </c>
      <c r="H32" s="1">
        <f>+IF(Rohdaten[[#This Row],[Gesamtabwesenheit]]=Rohdaten[[#This Row],[aktueller Monat]],0,NETWORKDAYS.INTL(EOMONTH(Rohdaten[[#This Row],[von_Datum]],0)+1,Rohdaten[[#This Row],[bis_Datum]],1,Feiertage[[Datum ]]))</f>
        <v>0</v>
      </c>
      <c r="I32" s="8">
        <f>EOMONTH(Rohdaten[[#This Row],[von_Datum]],-1)+1</f>
        <v>44866</v>
      </c>
      <c r="J32">
        <f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f>
        <v>1</v>
      </c>
      <c r="K32">
        <f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f>
        <v>1</v>
      </c>
      <c r="L32">
        <f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f>
        <v>1</v>
      </c>
      <c r="M32">
        <f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f>
        <v>0</v>
      </c>
      <c r="N32">
        <f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f>
        <v>0</v>
      </c>
      <c r="O32" s="8">
        <f>EOMONTH(Rohdaten[[#This Row],[bis_Datum]],-1)+1</f>
        <v>44866</v>
      </c>
      <c r="P32">
        <f>+IF(Rohdaten[[#This Row],[Gesamtabwesenheit]]&gt;Rohdaten[[#This Row],[aktueller Monat]],NETWORKDAYS.INTL(EOMONTH(Rohdaten[[#This Row],[von_Datum]],0)+1,Rohdaten[[#This Row],[bis_Datum]],"0111111",Feiertage[[Datum ]]),0)</f>
        <v>0</v>
      </c>
      <c r="Q32">
        <f>+IF(Rohdaten[[#This Row],[Gesamtabwesenheit]]&gt;Rohdaten[[#This Row],[aktueller Monat]],NETWORKDAYS.INTL(EOMONTH(Rohdaten[[#This Row],[von_Datum]],0)+1,Rohdaten[[#This Row],[bis_Datum]],"1011111",Feiertage[[Datum ]]),0)</f>
        <v>0</v>
      </c>
      <c r="R32">
        <f>+IF(Rohdaten[[#This Row],[Gesamtabwesenheit]]&gt;Rohdaten[[#This Row],[aktueller Monat]],NETWORKDAYS.INTL(EOMONTH(Rohdaten[[#This Row],[von_Datum]],0)+1,Rohdaten[[#This Row],[bis_Datum]],"1101111",Feiertage[[Datum ]]),0)</f>
        <v>0</v>
      </c>
      <c r="S32">
        <f>+IF(Rohdaten[[#This Row],[Gesamtabwesenheit]]&gt;Rohdaten[[#This Row],[aktueller Monat]],NETWORKDAYS.INTL(EOMONTH(Rohdaten[[#This Row],[von_Datum]],0)+1,Rohdaten[[#This Row],[bis_Datum]],"1110111",Feiertage[[Datum ]]),0)</f>
        <v>0</v>
      </c>
      <c r="T32">
        <f>+IF(Rohdaten[[#This Row],[Gesamtabwesenheit]]&gt;Rohdaten[[#This Row],[aktueller Monat]],NETWORKDAYS.INTL(EOMONTH(Rohdaten[[#This Row],[von_Datum]],0)+1,Rohdaten[[#This Row],[bis_Datum]],"1111011",Feiertage[[Datum ]]),0)</f>
        <v>0</v>
      </c>
      <c r="V32" s="3"/>
      <c r="W32" s="3"/>
    </row>
    <row r="33" spans="1:23" x14ac:dyDescent="0.3">
      <c r="A33" s="44" t="s">
        <v>72</v>
      </c>
      <c r="B33" s="52" t="str">
        <f>VLOOKUP(A33,DIM_Mitarbeiter!A:D,4,FALSE)</f>
        <v>PROD</v>
      </c>
      <c r="C33" s="50">
        <v>44879</v>
      </c>
      <c r="D33" s="50">
        <v>44886</v>
      </c>
      <c r="E33" s="49" t="s">
        <v>84</v>
      </c>
      <c r="F33" s="1">
        <f>+NETWORKDAYS.INTL(C33,D33,1,Feiertage[[Datum ]])</f>
        <v>6</v>
      </c>
      <c r="G33" s="1">
        <f>+NETWORKDAYS.INTL(C33,IF(Rohdaten[[#This Row],[bis_Datum]]&gt;=EOMONTH(Rohdaten[[#This Row],[von_Datum]],0),EOMONTH(Rohdaten[[#This Row],[von_Datum]],0),Rohdaten[[#This Row],[bis_Datum]]),1,Feiertage[[Datum ]])</f>
        <v>6</v>
      </c>
      <c r="H33" s="1">
        <f>+IF(Rohdaten[[#This Row],[Gesamtabwesenheit]]=Rohdaten[[#This Row],[aktueller Monat]],0,NETWORKDAYS.INTL(EOMONTH(Rohdaten[[#This Row],[von_Datum]],0)+1,Rohdaten[[#This Row],[bis_Datum]],1,Feiertage[[Datum ]]))</f>
        <v>0</v>
      </c>
      <c r="I33" s="8">
        <f>EOMONTH(Rohdaten[[#This Row],[von_Datum]],-1)+1</f>
        <v>44866</v>
      </c>
      <c r="J33">
        <f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f>
        <v>2</v>
      </c>
      <c r="K33">
        <f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f>
        <v>1</v>
      </c>
      <c r="L33">
        <f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f>
        <v>1</v>
      </c>
      <c r="M33">
        <f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f>
        <v>1</v>
      </c>
      <c r="N33">
        <f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f>
        <v>1</v>
      </c>
      <c r="O33" s="8">
        <f>EOMONTH(Rohdaten[[#This Row],[bis_Datum]],-1)+1</f>
        <v>44866</v>
      </c>
      <c r="P33">
        <f>+IF(Rohdaten[[#This Row],[Gesamtabwesenheit]]&gt;Rohdaten[[#This Row],[aktueller Monat]],NETWORKDAYS.INTL(EOMONTH(Rohdaten[[#This Row],[von_Datum]],0)+1,Rohdaten[[#This Row],[bis_Datum]],"0111111",Feiertage[[Datum ]]),0)</f>
        <v>0</v>
      </c>
      <c r="Q33">
        <f>+IF(Rohdaten[[#This Row],[Gesamtabwesenheit]]&gt;Rohdaten[[#This Row],[aktueller Monat]],NETWORKDAYS.INTL(EOMONTH(Rohdaten[[#This Row],[von_Datum]],0)+1,Rohdaten[[#This Row],[bis_Datum]],"1011111",Feiertage[[Datum ]]),0)</f>
        <v>0</v>
      </c>
      <c r="R33">
        <f>+IF(Rohdaten[[#This Row],[Gesamtabwesenheit]]&gt;Rohdaten[[#This Row],[aktueller Monat]],NETWORKDAYS.INTL(EOMONTH(Rohdaten[[#This Row],[von_Datum]],0)+1,Rohdaten[[#This Row],[bis_Datum]],"1101111",Feiertage[[Datum ]]),0)</f>
        <v>0</v>
      </c>
      <c r="S33">
        <f>+IF(Rohdaten[[#This Row],[Gesamtabwesenheit]]&gt;Rohdaten[[#This Row],[aktueller Monat]],NETWORKDAYS.INTL(EOMONTH(Rohdaten[[#This Row],[von_Datum]],0)+1,Rohdaten[[#This Row],[bis_Datum]],"1110111",Feiertage[[Datum ]]),0)</f>
        <v>0</v>
      </c>
      <c r="T33">
        <f>+IF(Rohdaten[[#This Row],[Gesamtabwesenheit]]&gt;Rohdaten[[#This Row],[aktueller Monat]],NETWORKDAYS.INTL(EOMONTH(Rohdaten[[#This Row],[von_Datum]],0)+1,Rohdaten[[#This Row],[bis_Datum]],"1111011",Feiertage[[Datum ]]),0)</f>
        <v>0</v>
      </c>
      <c r="V33" s="3"/>
      <c r="W33" s="3"/>
    </row>
    <row r="34" spans="1:23" x14ac:dyDescent="0.3">
      <c r="A34" s="46" t="s">
        <v>63</v>
      </c>
      <c r="B34" s="47" t="str">
        <f>VLOOKUP(A34,DIM_Mitarbeiter!A:D,4,FALSE)</f>
        <v>VERKAUF</v>
      </c>
      <c r="C34" s="51">
        <v>44883</v>
      </c>
      <c r="D34" s="51">
        <v>44893</v>
      </c>
      <c r="E34" s="49" t="s">
        <v>82</v>
      </c>
      <c r="F34" s="1">
        <f>+NETWORKDAYS.INTL(C34,D34,1,Feiertage[[Datum ]])</f>
        <v>7</v>
      </c>
      <c r="G34" s="1">
        <f>+NETWORKDAYS.INTL(C34,IF(Rohdaten[[#This Row],[bis_Datum]]&gt;=EOMONTH(Rohdaten[[#This Row],[von_Datum]],0),EOMONTH(Rohdaten[[#This Row],[von_Datum]],0),Rohdaten[[#This Row],[bis_Datum]]),1,Feiertage[[Datum ]])</f>
        <v>7</v>
      </c>
      <c r="H34" s="1">
        <f>+IF(Rohdaten[[#This Row],[Gesamtabwesenheit]]=Rohdaten[[#This Row],[aktueller Monat]],0,NETWORKDAYS.INTL(EOMONTH(Rohdaten[[#This Row],[von_Datum]],0)+1,Rohdaten[[#This Row],[bis_Datum]],1,Feiertage[[Datum ]]))</f>
        <v>0</v>
      </c>
      <c r="I34" s="8">
        <f>EOMONTH(Rohdaten[[#This Row],[von_Datum]],-1)+1</f>
        <v>44866</v>
      </c>
      <c r="J34">
        <f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f>
        <v>2</v>
      </c>
      <c r="K34">
        <f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f>
        <v>1</v>
      </c>
      <c r="L34">
        <f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f>
        <v>1</v>
      </c>
      <c r="M34">
        <f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f>
        <v>1</v>
      </c>
      <c r="N34">
        <f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f>
        <v>2</v>
      </c>
      <c r="O34" s="8">
        <f>EOMONTH(Rohdaten[[#This Row],[bis_Datum]],-1)+1</f>
        <v>44866</v>
      </c>
      <c r="P34">
        <f>+IF(Rohdaten[[#This Row],[Gesamtabwesenheit]]&gt;Rohdaten[[#This Row],[aktueller Monat]],NETWORKDAYS.INTL(EOMONTH(Rohdaten[[#This Row],[von_Datum]],0)+1,Rohdaten[[#This Row],[bis_Datum]],"0111111",Feiertage[[Datum ]]),0)</f>
        <v>0</v>
      </c>
      <c r="Q34">
        <f>+IF(Rohdaten[[#This Row],[Gesamtabwesenheit]]&gt;Rohdaten[[#This Row],[aktueller Monat]],NETWORKDAYS.INTL(EOMONTH(Rohdaten[[#This Row],[von_Datum]],0)+1,Rohdaten[[#This Row],[bis_Datum]],"1011111",Feiertage[[Datum ]]),0)</f>
        <v>0</v>
      </c>
      <c r="R34">
        <f>+IF(Rohdaten[[#This Row],[Gesamtabwesenheit]]&gt;Rohdaten[[#This Row],[aktueller Monat]],NETWORKDAYS.INTL(EOMONTH(Rohdaten[[#This Row],[von_Datum]],0)+1,Rohdaten[[#This Row],[bis_Datum]],"1101111",Feiertage[[Datum ]]),0)</f>
        <v>0</v>
      </c>
      <c r="S34">
        <f>+IF(Rohdaten[[#This Row],[Gesamtabwesenheit]]&gt;Rohdaten[[#This Row],[aktueller Monat]],NETWORKDAYS.INTL(EOMONTH(Rohdaten[[#This Row],[von_Datum]],0)+1,Rohdaten[[#This Row],[bis_Datum]],"1110111",Feiertage[[Datum ]]),0)</f>
        <v>0</v>
      </c>
      <c r="T34">
        <f>+IF(Rohdaten[[#This Row],[Gesamtabwesenheit]]&gt;Rohdaten[[#This Row],[aktueller Monat]],NETWORKDAYS.INTL(EOMONTH(Rohdaten[[#This Row],[von_Datum]],0)+1,Rohdaten[[#This Row],[bis_Datum]],"1111011",Feiertage[[Datum ]]),0)</f>
        <v>0</v>
      </c>
      <c r="V34" s="3"/>
      <c r="W34" s="3"/>
    </row>
    <row r="35" spans="1:23" x14ac:dyDescent="0.3">
      <c r="A35" s="41" t="s">
        <v>56</v>
      </c>
      <c r="B35" s="1" t="str">
        <f>VLOOKUP(A35,DIM_Mitarbeiter!A:D,4,FALSE)</f>
        <v>VERKAUF</v>
      </c>
      <c r="C35" s="42">
        <v>44885</v>
      </c>
      <c r="D35" s="42">
        <v>44889</v>
      </c>
      <c r="E35" s="2" t="s">
        <v>82</v>
      </c>
      <c r="F35" s="1">
        <f>+NETWORKDAYS.INTL(C35,D35,1,Feiertage[[Datum ]])</f>
        <v>4</v>
      </c>
      <c r="G35" s="1">
        <f>+NETWORKDAYS.INTL(C35,IF(Rohdaten[[#This Row],[bis_Datum]]&gt;=EOMONTH(Rohdaten[[#This Row],[von_Datum]],0),EOMONTH(Rohdaten[[#This Row],[von_Datum]],0),Rohdaten[[#This Row],[bis_Datum]]),1,Feiertage[[Datum ]])</f>
        <v>4</v>
      </c>
      <c r="H35" s="1">
        <f>+IF(Rohdaten[[#This Row],[Gesamtabwesenheit]]=Rohdaten[[#This Row],[aktueller Monat]],0,NETWORKDAYS.INTL(EOMONTH(Rohdaten[[#This Row],[von_Datum]],0)+1,Rohdaten[[#This Row],[bis_Datum]],1,Feiertage[[Datum ]]))</f>
        <v>0</v>
      </c>
      <c r="I35" s="8">
        <f>EOMONTH(Rohdaten[[#This Row],[von_Datum]],-1)+1</f>
        <v>44866</v>
      </c>
      <c r="J35">
        <f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f>
        <v>1</v>
      </c>
      <c r="K35">
        <f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f>
        <v>1</v>
      </c>
      <c r="L35">
        <f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f>
        <v>1</v>
      </c>
      <c r="M35">
        <f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f>
        <v>1</v>
      </c>
      <c r="N35">
        <f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f>
        <v>0</v>
      </c>
      <c r="O35" s="8">
        <f>EOMONTH(Rohdaten[[#This Row],[bis_Datum]],-1)+1</f>
        <v>44866</v>
      </c>
      <c r="P35">
        <f>+IF(Rohdaten[[#This Row],[Gesamtabwesenheit]]&gt;Rohdaten[[#This Row],[aktueller Monat]],NETWORKDAYS.INTL(EOMONTH(Rohdaten[[#This Row],[von_Datum]],0)+1,Rohdaten[[#This Row],[bis_Datum]],"0111111",Feiertage[[Datum ]]),0)</f>
        <v>0</v>
      </c>
      <c r="Q35">
        <f>+IF(Rohdaten[[#This Row],[Gesamtabwesenheit]]&gt;Rohdaten[[#This Row],[aktueller Monat]],NETWORKDAYS.INTL(EOMONTH(Rohdaten[[#This Row],[von_Datum]],0)+1,Rohdaten[[#This Row],[bis_Datum]],"1011111",Feiertage[[Datum ]]),0)</f>
        <v>0</v>
      </c>
      <c r="R35">
        <f>+IF(Rohdaten[[#This Row],[Gesamtabwesenheit]]&gt;Rohdaten[[#This Row],[aktueller Monat]],NETWORKDAYS.INTL(EOMONTH(Rohdaten[[#This Row],[von_Datum]],0)+1,Rohdaten[[#This Row],[bis_Datum]],"1101111",Feiertage[[Datum ]]),0)</f>
        <v>0</v>
      </c>
      <c r="S35">
        <f>+IF(Rohdaten[[#This Row],[Gesamtabwesenheit]]&gt;Rohdaten[[#This Row],[aktueller Monat]],NETWORKDAYS.INTL(EOMONTH(Rohdaten[[#This Row],[von_Datum]],0)+1,Rohdaten[[#This Row],[bis_Datum]],"1110111",Feiertage[[Datum ]]),0)</f>
        <v>0</v>
      </c>
      <c r="T35">
        <f>+IF(Rohdaten[[#This Row],[Gesamtabwesenheit]]&gt;Rohdaten[[#This Row],[aktueller Monat]],NETWORKDAYS.INTL(EOMONTH(Rohdaten[[#This Row],[von_Datum]],0)+1,Rohdaten[[#This Row],[bis_Datum]],"1111011",Feiertage[[Datum ]]),0)</f>
        <v>0</v>
      </c>
      <c r="V35" s="3"/>
      <c r="W35" s="3"/>
    </row>
    <row r="36" spans="1:23" x14ac:dyDescent="0.3">
      <c r="A36" s="115" t="s">
        <v>66</v>
      </c>
      <c r="B36" s="116" t="str">
        <f>VLOOKUP(A36,DIM_Mitarbeiter!A:D,4,FALSE)</f>
        <v>VERW</v>
      </c>
      <c r="C36" s="117">
        <v>44889</v>
      </c>
      <c r="D36" s="117">
        <v>44892</v>
      </c>
      <c r="E36" s="49" t="s">
        <v>84</v>
      </c>
      <c r="F36" s="2">
        <f>+NETWORKDAYS.INTL(C36,D36,1,Feiertage[[Datum ]])</f>
        <v>2</v>
      </c>
      <c r="G36" s="1">
        <f>+NETWORKDAYS.INTL(C36,IF(Rohdaten[[#This Row],[bis_Datum]]&gt;=EOMONTH(Rohdaten[[#This Row],[von_Datum]],0),EOMONTH(Rohdaten[[#This Row],[von_Datum]],0),Rohdaten[[#This Row],[bis_Datum]]),1,Feiertage[[Datum ]])</f>
        <v>2</v>
      </c>
      <c r="H36" s="1">
        <f>+IF(Rohdaten[[#This Row],[Gesamtabwesenheit]]=Rohdaten[[#This Row],[aktueller Monat]],0,NETWORKDAYS.INTL(EOMONTH(Rohdaten[[#This Row],[von_Datum]],0)+1,Rohdaten[[#This Row],[bis_Datum]],1,Feiertage[[Datum ]]))</f>
        <v>0</v>
      </c>
      <c r="I36" s="8">
        <f>EOMONTH(Rohdaten[[#This Row],[von_Datum]],-1)+1</f>
        <v>44866</v>
      </c>
      <c r="J36">
        <f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f>
        <v>0</v>
      </c>
      <c r="K36">
        <f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f>
        <v>0</v>
      </c>
      <c r="L36">
        <f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f>
        <v>0</v>
      </c>
      <c r="M36">
        <f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f>
        <v>1</v>
      </c>
      <c r="N36">
        <f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f>
        <v>1</v>
      </c>
      <c r="O36" s="8">
        <f>EOMONTH(Rohdaten[[#This Row],[bis_Datum]],-1)+1</f>
        <v>44866</v>
      </c>
      <c r="P36">
        <f>+IF(Rohdaten[[#This Row],[Gesamtabwesenheit]]&gt;Rohdaten[[#This Row],[aktueller Monat]],NETWORKDAYS.INTL(EOMONTH(Rohdaten[[#This Row],[von_Datum]],0)+1,Rohdaten[[#This Row],[bis_Datum]],"0111111",Feiertage[[Datum ]]),0)</f>
        <v>0</v>
      </c>
      <c r="Q36">
        <f>+IF(Rohdaten[[#This Row],[Gesamtabwesenheit]]&gt;Rohdaten[[#This Row],[aktueller Monat]],NETWORKDAYS.INTL(EOMONTH(Rohdaten[[#This Row],[von_Datum]],0)+1,Rohdaten[[#This Row],[bis_Datum]],"1011111",Feiertage[[Datum ]]),0)</f>
        <v>0</v>
      </c>
      <c r="R36">
        <f>+IF(Rohdaten[[#This Row],[Gesamtabwesenheit]]&gt;Rohdaten[[#This Row],[aktueller Monat]],NETWORKDAYS.INTL(EOMONTH(Rohdaten[[#This Row],[von_Datum]],0)+1,Rohdaten[[#This Row],[bis_Datum]],"1101111",Feiertage[[Datum ]]),0)</f>
        <v>0</v>
      </c>
      <c r="S36">
        <f>+IF(Rohdaten[[#This Row],[Gesamtabwesenheit]]&gt;Rohdaten[[#This Row],[aktueller Monat]],NETWORKDAYS.INTL(EOMONTH(Rohdaten[[#This Row],[von_Datum]],0)+1,Rohdaten[[#This Row],[bis_Datum]],"1110111",Feiertage[[Datum ]]),0)</f>
        <v>0</v>
      </c>
      <c r="T36">
        <f>+IF(Rohdaten[[#This Row],[Gesamtabwesenheit]]&gt;Rohdaten[[#This Row],[aktueller Monat]],NETWORKDAYS.INTL(EOMONTH(Rohdaten[[#This Row],[von_Datum]],0)+1,Rohdaten[[#This Row],[bis_Datum]],"1111011",Feiertage[[Datum ]]),0)</f>
        <v>0</v>
      </c>
      <c r="V36" s="3"/>
      <c r="W36" s="3"/>
    </row>
    <row r="37" spans="1:23" x14ac:dyDescent="0.3">
      <c r="A37" s="43" t="s">
        <v>50</v>
      </c>
      <c r="B37" s="2" t="str">
        <f>VLOOKUP(A37,DIM_Mitarbeiter!A:D,4,FALSE)</f>
        <v>PROD</v>
      </c>
      <c r="C37" s="42">
        <v>44891</v>
      </c>
      <c r="D37" s="42">
        <v>44896</v>
      </c>
      <c r="E37" s="2" t="s">
        <v>84</v>
      </c>
      <c r="F37" s="2">
        <f>+NETWORKDAYS.INTL(C37,D37,1,Feiertage[[Datum ]])</f>
        <v>4</v>
      </c>
      <c r="G37" s="18">
        <f>+NETWORKDAYS.INTL(C37,IF(Rohdaten[[#This Row],[bis_Datum]]&gt;=EOMONTH(Rohdaten[[#This Row],[von_Datum]],0),EOMONTH(Rohdaten[[#This Row],[von_Datum]],0),Rohdaten[[#This Row],[bis_Datum]]),1,Feiertage[[Datum ]])</f>
        <v>3</v>
      </c>
      <c r="H37" s="18">
        <f>+IF(Rohdaten[[#This Row],[Gesamtabwesenheit]]=Rohdaten[[#This Row],[aktueller Monat]],0,NETWORKDAYS.INTL(EOMONTH(Rohdaten[[#This Row],[von_Datum]],0)+1,Rohdaten[[#This Row],[bis_Datum]],1,Feiertage[[Datum ]]))</f>
        <v>1</v>
      </c>
      <c r="I37" s="8">
        <f>EOMONTH(Rohdaten[[#This Row],[von_Datum]],-1)+1</f>
        <v>44866</v>
      </c>
      <c r="J37">
        <f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f>
        <v>1</v>
      </c>
      <c r="K37">
        <f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f>
        <v>1</v>
      </c>
      <c r="L37">
        <f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f>
        <v>1</v>
      </c>
      <c r="M37">
        <f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f>
        <v>0</v>
      </c>
      <c r="N37">
        <f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f>
        <v>0</v>
      </c>
      <c r="O37" s="8">
        <f>EOMONTH(Rohdaten[[#This Row],[bis_Datum]],-1)+1</f>
        <v>44896</v>
      </c>
      <c r="P37">
        <f>+IF(Rohdaten[[#This Row],[Gesamtabwesenheit]]&gt;Rohdaten[[#This Row],[aktueller Monat]],NETWORKDAYS.INTL(EOMONTH(Rohdaten[[#This Row],[von_Datum]],0)+1,Rohdaten[[#This Row],[bis_Datum]],"0111111",Feiertage[[Datum ]]),0)</f>
        <v>0</v>
      </c>
      <c r="Q37">
        <f>+IF(Rohdaten[[#This Row],[Gesamtabwesenheit]]&gt;Rohdaten[[#This Row],[aktueller Monat]],NETWORKDAYS.INTL(EOMONTH(Rohdaten[[#This Row],[von_Datum]],0)+1,Rohdaten[[#This Row],[bis_Datum]],"1011111",Feiertage[[Datum ]]),0)</f>
        <v>0</v>
      </c>
      <c r="R37">
        <f>+IF(Rohdaten[[#This Row],[Gesamtabwesenheit]]&gt;Rohdaten[[#This Row],[aktueller Monat]],NETWORKDAYS.INTL(EOMONTH(Rohdaten[[#This Row],[von_Datum]],0)+1,Rohdaten[[#This Row],[bis_Datum]],"1101111",Feiertage[[Datum ]]),0)</f>
        <v>0</v>
      </c>
      <c r="S37">
        <f>+IF(Rohdaten[[#This Row],[Gesamtabwesenheit]]&gt;Rohdaten[[#This Row],[aktueller Monat]],NETWORKDAYS.INTL(EOMONTH(Rohdaten[[#This Row],[von_Datum]],0)+1,Rohdaten[[#This Row],[bis_Datum]],"1110111",Feiertage[[Datum ]]),0)</f>
        <v>1</v>
      </c>
      <c r="T37">
        <f>+IF(Rohdaten[[#This Row],[Gesamtabwesenheit]]&gt;Rohdaten[[#This Row],[aktueller Monat]],NETWORKDAYS.INTL(EOMONTH(Rohdaten[[#This Row],[von_Datum]],0)+1,Rohdaten[[#This Row],[bis_Datum]],"1111011",Feiertage[[Datum ]]),0)</f>
        <v>0</v>
      </c>
      <c r="V37" s="3"/>
      <c r="W37" s="3"/>
    </row>
    <row r="38" spans="1:23" x14ac:dyDescent="0.3">
      <c r="A38" s="115" t="s">
        <v>66</v>
      </c>
      <c r="B38" s="116" t="str">
        <f>VLOOKUP(A38,DIM_Mitarbeiter!A:D,4,FALSE)</f>
        <v>VERW</v>
      </c>
      <c r="C38" s="117">
        <v>44892</v>
      </c>
      <c r="D38" s="117">
        <v>44904</v>
      </c>
      <c r="E38" s="49" t="s">
        <v>82</v>
      </c>
      <c r="F38" s="2">
        <f>+NETWORKDAYS.INTL(C38,D38,1,Feiertage[[Datum ]])</f>
        <v>10</v>
      </c>
      <c r="G38" s="18">
        <f>+NETWORKDAYS.INTL(C38,IF(Rohdaten[[#This Row],[bis_Datum]]&gt;=EOMONTH(Rohdaten[[#This Row],[von_Datum]],0),EOMONTH(Rohdaten[[#This Row],[von_Datum]],0),Rohdaten[[#This Row],[bis_Datum]]),1,Feiertage[[Datum ]])</f>
        <v>3</v>
      </c>
      <c r="H38" s="18">
        <f>+IF(Rohdaten[[#This Row],[Gesamtabwesenheit]]=Rohdaten[[#This Row],[aktueller Monat]],0,NETWORKDAYS.INTL(EOMONTH(Rohdaten[[#This Row],[von_Datum]],0)+1,Rohdaten[[#This Row],[bis_Datum]],1,Feiertage[[Datum ]]))</f>
        <v>7</v>
      </c>
      <c r="I38" s="8">
        <f>EOMONTH(Rohdaten[[#This Row],[von_Datum]],-1)+1</f>
        <v>44866</v>
      </c>
      <c r="J38">
        <f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f>
        <v>1</v>
      </c>
      <c r="K38">
        <f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f>
        <v>1</v>
      </c>
      <c r="L38">
        <f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f>
        <v>1</v>
      </c>
      <c r="M38">
        <f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f>
        <v>0</v>
      </c>
      <c r="N38">
        <f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f>
        <v>0</v>
      </c>
      <c r="O38" s="8">
        <f>EOMONTH(Rohdaten[[#This Row],[bis_Datum]],-1)+1</f>
        <v>44896</v>
      </c>
      <c r="P38">
        <f>+IF(Rohdaten[[#This Row],[Gesamtabwesenheit]]&gt;Rohdaten[[#This Row],[aktueller Monat]],NETWORKDAYS.INTL(EOMONTH(Rohdaten[[#This Row],[von_Datum]],0)+1,Rohdaten[[#This Row],[bis_Datum]],"0111111",Feiertage[[Datum ]]),0)</f>
        <v>1</v>
      </c>
      <c r="Q38">
        <f>+IF(Rohdaten[[#This Row],[Gesamtabwesenheit]]&gt;Rohdaten[[#This Row],[aktueller Monat]],NETWORKDAYS.INTL(EOMONTH(Rohdaten[[#This Row],[von_Datum]],0)+1,Rohdaten[[#This Row],[bis_Datum]],"1011111",Feiertage[[Datum ]]),0)</f>
        <v>1</v>
      </c>
      <c r="R38">
        <f>+IF(Rohdaten[[#This Row],[Gesamtabwesenheit]]&gt;Rohdaten[[#This Row],[aktueller Monat]],NETWORKDAYS.INTL(EOMONTH(Rohdaten[[#This Row],[von_Datum]],0)+1,Rohdaten[[#This Row],[bis_Datum]],"1101111",Feiertage[[Datum ]]),0)</f>
        <v>1</v>
      </c>
      <c r="S38">
        <f>+IF(Rohdaten[[#This Row],[Gesamtabwesenheit]]&gt;Rohdaten[[#This Row],[aktueller Monat]],NETWORKDAYS.INTL(EOMONTH(Rohdaten[[#This Row],[von_Datum]],0)+1,Rohdaten[[#This Row],[bis_Datum]],"1110111",Feiertage[[Datum ]]),0)</f>
        <v>2</v>
      </c>
      <c r="T38">
        <f>+IF(Rohdaten[[#This Row],[Gesamtabwesenheit]]&gt;Rohdaten[[#This Row],[aktueller Monat]],NETWORKDAYS.INTL(EOMONTH(Rohdaten[[#This Row],[von_Datum]],0)+1,Rohdaten[[#This Row],[bis_Datum]],"1111011",Feiertage[[Datum ]]),0)</f>
        <v>2</v>
      </c>
      <c r="V38" s="3"/>
      <c r="W38" s="3"/>
    </row>
    <row r="39" spans="1:23" x14ac:dyDescent="0.3">
      <c r="A39" s="41" t="s">
        <v>56</v>
      </c>
      <c r="B39" s="1" t="str">
        <f>VLOOKUP(A39,DIM_Mitarbeiter!A:D,4,FALSE)</f>
        <v>VERKAUF</v>
      </c>
      <c r="C39" s="42">
        <v>44893</v>
      </c>
      <c r="D39" s="42">
        <v>44897</v>
      </c>
      <c r="E39" s="2" t="s">
        <v>84</v>
      </c>
      <c r="F39" s="1">
        <f>+NETWORKDAYS.INTL(C39,D39,1,Feiertage[[Datum ]])</f>
        <v>5</v>
      </c>
      <c r="G39" s="1">
        <f>+NETWORKDAYS.INTL(C39,IF(Rohdaten[[#This Row],[bis_Datum]]&gt;=EOMONTH(Rohdaten[[#This Row],[von_Datum]],0),EOMONTH(Rohdaten[[#This Row],[von_Datum]],0),Rohdaten[[#This Row],[bis_Datum]]),1,Feiertage[[Datum ]])</f>
        <v>3</v>
      </c>
      <c r="H39" s="1">
        <f>+IF(Rohdaten[[#This Row],[Gesamtabwesenheit]]=Rohdaten[[#This Row],[aktueller Monat]],0,NETWORKDAYS.INTL(EOMONTH(Rohdaten[[#This Row],[von_Datum]],0)+1,Rohdaten[[#This Row],[bis_Datum]],1,Feiertage[[Datum ]]))</f>
        <v>2</v>
      </c>
      <c r="I39" s="8">
        <f>EOMONTH(Rohdaten[[#This Row],[von_Datum]],-1)+1</f>
        <v>44866</v>
      </c>
      <c r="J39">
        <f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f>
        <v>1</v>
      </c>
      <c r="K39">
        <f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f>
        <v>1</v>
      </c>
      <c r="L39">
        <f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f>
        <v>1</v>
      </c>
      <c r="M39">
        <f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f>
        <v>0</v>
      </c>
      <c r="N39">
        <f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f>
        <v>0</v>
      </c>
      <c r="O39" s="8">
        <f>EOMONTH(Rohdaten[[#This Row],[bis_Datum]],-1)+1</f>
        <v>44896</v>
      </c>
      <c r="P39">
        <f>+IF(Rohdaten[[#This Row],[Gesamtabwesenheit]]&gt;Rohdaten[[#This Row],[aktueller Monat]],NETWORKDAYS.INTL(EOMONTH(Rohdaten[[#This Row],[von_Datum]],0)+1,Rohdaten[[#This Row],[bis_Datum]],"0111111",Feiertage[[Datum ]]),0)</f>
        <v>0</v>
      </c>
      <c r="Q39">
        <f>+IF(Rohdaten[[#This Row],[Gesamtabwesenheit]]&gt;Rohdaten[[#This Row],[aktueller Monat]],NETWORKDAYS.INTL(EOMONTH(Rohdaten[[#This Row],[von_Datum]],0)+1,Rohdaten[[#This Row],[bis_Datum]],"1011111",Feiertage[[Datum ]]),0)</f>
        <v>0</v>
      </c>
      <c r="R39">
        <f>+IF(Rohdaten[[#This Row],[Gesamtabwesenheit]]&gt;Rohdaten[[#This Row],[aktueller Monat]],NETWORKDAYS.INTL(EOMONTH(Rohdaten[[#This Row],[von_Datum]],0)+1,Rohdaten[[#This Row],[bis_Datum]],"1101111",Feiertage[[Datum ]]),0)</f>
        <v>0</v>
      </c>
      <c r="S39">
        <f>+IF(Rohdaten[[#This Row],[Gesamtabwesenheit]]&gt;Rohdaten[[#This Row],[aktueller Monat]],NETWORKDAYS.INTL(EOMONTH(Rohdaten[[#This Row],[von_Datum]],0)+1,Rohdaten[[#This Row],[bis_Datum]],"1110111",Feiertage[[Datum ]]),0)</f>
        <v>1</v>
      </c>
      <c r="T39">
        <f>+IF(Rohdaten[[#This Row],[Gesamtabwesenheit]]&gt;Rohdaten[[#This Row],[aktueller Monat]],NETWORKDAYS.INTL(EOMONTH(Rohdaten[[#This Row],[von_Datum]],0)+1,Rohdaten[[#This Row],[bis_Datum]],"1111011",Feiertage[[Datum ]]),0)</f>
        <v>1</v>
      </c>
      <c r="V39" s="3"/>
      <c r="W39" s="3"/>
    </row>
    <row r="40" spans="1:23" x14ac:dyDescent="0.3">
      <c r="A40" s="35" t="s">
        <v>63</v>
      </c>
      <c r="B40" s="34" t="str">
        <f>VLOOKUP(A40,DIM_Mitarbeiter!A:D,4,FALSE)</f>
        <v>VERKAUF</v>
      </c>
      <c r="C40" s="36">
        <v>44893</v>
      </c>
      <c r="D40" s="36">
        <v>44897</v>
      </c>
      <c r="E40" s="2" t="s">
        <v>84</v>
      </c>
      <c r="F40" s="1">
        <f>+NETWORKDAYS.INTL(C40,D40,1,Feiertage[[Datum ]])</f>
        <v>5</v>
      </c>
      <c r="G40" s="1">
        <f>+NETWORKDAYS.INTL(C40,IF(Rohdaten[[#This Row],[bis_Datum]]&gt;=EOMONTH(Rohdaten[[#This Row],[von_Datum]],0),EOMONTH(Rohdaten[[#This Row],[von_Datum]],0),Rohdaten[[#This Row],[bis_Datum]]),1,Feiertage[[Datum ]])</f>
        <v>3</v>
      </c>
      <c r="H40" s="1">
        <f>+IF(Rohdaten[[#This Row],[Gesamtabwesenheit]]=Rohdaten[[#This Row],[aktueller Monat]],0,NETWORKDAYS.INTL(EOMONTH(Rohdaten[[#This Row],[von_Datum]],0)+1,Rohdaten[[#This Row],[bis_Datum]],1,Feiertage[[Datum ]]))</f>
        <v>2</v>
      </c>
      <c r="I40" s="8">
        <f>EOMONTH(Rohdaten[[#This Row],[von_Datum]],-1)+1</f>
        <v>44866</v>
      </c>
      <c r="J40">
        <f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f>
        <v>1</v>
      </c>
      <c r="K40">
        <f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f>
        <v>1</v>
      </c>
      <c r="L40">
        <f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f>
        <v>1</v>
      </c>
      <c r="M40">
        <f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f>
        <v>0</v>
      </c>
      <c r="N40">
        <f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f>
        <v>0</v>
      </c>
      <c r="O40" s="8">
        <f>EOMONTH(Rohdaten[[#This Row],[bis_Datum]],-1)+1</f>
        <v>44896</v>
      </c>
      <c r="P40">
        <f>+IF(Rohdaten[[#This Row],[Gesamtabwesenheit]]&gt;Rohdaten[[#This Row],[aktueller Monat]],NETWORKDAYS.INTL(EOMONTH(Rohdaten[[#This Row],[von_Datum]],0)+1,Rohdaten[[#This Row],[bis_Datum]],"0111111",Feiertage[[Datum ]]),0)</f>
        <v>0</v>
      </c>
      <c r="Q40">
        <f>+IF(Rohdaten[[#This Row],[Gesamtabwesenheit]]&gt;Rohdaten[[#This Row],[aktueller Monat]],NETWORKDAYS.INTL(EOMONTH(Rohdaten[[#This Row],[von_Datum]],0)+1,Rohdaten[[#This Row],[bis_Datum]],"1011111",Feiertage[[Datum ]]),0)</f>
        <v>0</v>
      </c>
      <c r="R40">
        <f>+IF(Rohdaten[[#This Row],[Gesamtabwesenheit]]&gt;Rohdaten[[#This Row],[aktueller Monat]],NETWORKDAYS.INTL(EOMONTH(Rohdaten[[#This Row],[von_Datum]],0)+1,Rohdaten[[#This Row],[bis_Datum]],"1101111",Feiertage[[Datum ]]),0)</f>
        <v>0</v>
      </c>
      <c r="S40">
        <f>+IF(Rohdaten[[#This Row],[Gesamtabwesenheit]]&gt;Rohdaten[[#This Row],[aktueller Monat]],NETWORKDAYS.INTL(EOMONTH(Rohdaten[[#This Row],[von_Datum]],0)+1,Rohdaten[[#This Row],[bis_Datum]],"1110111",Feiertage[[Datum ]]),0)</f>
        <v>1</v>
      </c>
      <c r="T40">
        <f>+IF(Rohdaten[[#This Row],[Gesamtabwesenheit]]&gt;Rohdaten[[#This Row],[aktueller Monat]],NETWORKDAYS.INTL(EOMONTH(Rohdaten[[#This Row],[von_Datum]],0)+1,Rohdaten[[#This Row],[bis_Datum]],"1111011",Feiertage[[Datum ]]),0)</f>
        <v>1</v>
      </c>
      <c r="V40" s="3"/>
      <c r="W40" s="3"/>
    </row>
    <row r="41" spans="1:23" x14ac:dyDescent="0.3">
      <c r="A41" s="41" t="s">
        <v>46</v>
      </c>
      <c r="B41" s="1" t="str">
        <f>VLOOKUP(A41,DIM_Mitarbeiter!A:D,4,FALSE)</f>
        <v>PROD</v>
      </c>
      <c r="C41" s="42">
        <v>44894</v>
      </c>
      <c r="D41" s="42">
        <v>44896</v>
      </c>
      <c r="E41" s="2" t="s">
        <v>82</v>
      </c>
      <c r="F41" s="1">
        <f>+NETWORKDAYS.INTL(C41,D41,1,Feiertage[[Datum ]])</f>
        <v>3</v>
      </c>
      <c r="G41" s="1">
        <f>+NETWORKDAYS.INTL(C41,IF(Rohdaten[[#This Row],[bis_Datum]]&gt;=EOMONTH(Rohdaten[[#This Row],[von_Datum]],0),EOMONTH(Rohdaten[[#This Row],[von_Datum]],0),Rohdaten[[#This Row],[bis_Datum]]),1,Feiertage[[Datum ]])</f>
        <v>2</v>
      </c>
      <c r="H41" s="1">
        <f>+IF(Rohdaten[[#This Row],[Gesamtabwesenheit]]=Rohdaten[[#This Row],[aktueller Monat]],0,NETWORKDAYS.INTL(EOMONTH(Rohdaten[[#This Row],[von_Datum]],0)+1,Rohdaten[[#This Row],[bis_Datum]],1,Feiertage[[Datum ]]))</f>
        <v>1</v>
      </c>
      <c r="I41" s="8">
        <f>EOMONTH(Rohdaten[[#This Row],[von_Datum]],-1)+1</f>
        <v>44866</v>
      </c>
      <c r="J41">
        <f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f>
        <v>0</v>
      </c>
      <c r="K41">
        <f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f>
        <v>1</v>
      </c>
      <c r="L41">
        <f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f>
        <v>1</v>
      </c>
      <c r="M41">
        <f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f>
        <v>0</v>
      </c>
      <c r="N41">
        <f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f>
        <v>0</v>
      </c>
      <c r="O41" s="8">
        <f>EOMONTH(Rohdaten[[#This Row],[bis_Datum]],-1)+1</f>
        <v>44896</v>
      </c>
      <c r="P41">
        <f>+IF(Rohdaten[[#This Row],[Gesamtabwesenheit]]&gt;Rohdaten[[#This Row],[aktueller Monat]],NETWORKDAYS.INTL(EOMONTH(Rohdaten[[#This Row],[von_Datum]],0)+1,Rohdaten[[#This Row],[bis_Datum]],"0111111",Feiertage[[Datum ]]),0)</f>
        <v>0</v>
      </c>
      <c r="Q41">
        <f>+IF(Rohdaten[[#This Row],[Gesamtabwesenheit]]&gt;Rohdaten[[#This Row],[aktueller Monat]],NETWORKDAYS.INTL(EOMONTH(Rohdaten[[#This Row],[von_Datum]],0)+1,Rohdaten[[#This Row],[bis_Datum]],"1011111",Feiertage[[Datum ]]),0)</f>
        <v>0</v>
      </c>
      <c r="R41">
        <f>+IF(Rohdaten[[#This Row],[Gesamtabwesenheit]]&gt;Rohdaten[[#This Row],[aktueller Monat]],NETWORKDAYS.INTL(EOMONTH(Rohdaten[[#This Row],[von_Datum]],0)+1,Rohdaten[[#This Row],[bis_Datum]],"1101111",Feiertage[[Datum ]]),0)</f>
        <v>0</v>
      </c>
      <c r="S41">
        <f>+IF(Rohdaten[[#This Row],[Gesamtabwesenheit]]&gt;Rohdaten[[#This Row],[aktueller Monat]],NETWORKDAYS.INTL(EOMONTH(Rohdaten[[#This Row],[von_Datum]],0)+1,Rohdaten[[#This Row],[bis_Datum]],"1110111",Feiertage[[Datum ]]),0)</f>
        <v>1</v>
      </c>
      <c r="T41">
        <f>+IF(Rohdaten[[#This Row],[Gesamtabwesenheit]]&gt;Rohdaten[[#This Row],[aktueller Monat]],NETWORKDAYS.INTL(EOMONTH(Rohdaten[[#This Row],[von_Datum]],0)+1,Rohdaten[[#This Row],[bis_Datum]],"1111011",Feiertage[[Datum ]]),0)</f>
        <v>0</v>
      </c>
      <c r="V41" s="3"/>
      <c r="W41" s="3"/>
    </row>
    <row r="42" spans="1:23" x14ac:dyDescent="0.3">
      <c r="A42" s="41" t="s">
        <v>43</v>
      </c>
      <c r="B42" s="1" t="str">
        <f>VLOOKUP(A42,DIM_Mitarbeiter!A:D,4,FALSE)</f>
        <v>VERW</v>
      </c>
      <c r="C42" s="42">
        <v>44895</v>
      </c>
      <c r="D42" s="42">
        <v>44897</v>
      </c>
      <c r="E42" s="2" t="s">
        <v>82</v>
      </c>
      <c r="F42" s="1">
        <f>+NETWORKDAYS.INTL(C42,D42,1,Feiertage[[Datum ]])</f>
        <v>3</v>
      </c>
      <c r="G42" s="1">
        <f>+NETWORKDAYS.INTL(C42,IF(Rohdaten[[#This Row],[bis_Datum]]&gt;=EOMONTH(Rohdaten[[#This Row],[von_Datum]],0),EOMONTH(Rohdaten[[#This Row],[von_Datum]],0),Rohdaten[[#This Row],[bis_Datum]]),1,Feiertage[[Datum ]])</f>
        <v>1</v>
      </c>
      <c r="H42" s="1">
        <f>+IF(Rohdaten[[#This Row],[Gesamtabwesenheit]]=Rohdaten[[#This Row],[aktueller Monat]],0,NETWORKDAYS.INTL(EOMONTH(Rohdaten[[#This Row],[von_Datum]],0)+1,Rohdaten[[#This Row],[bis_Datum]],1,Feiertage[[Datum ]]))</f>
        <v>2</v>
      </c>
      <c r="I42" s="8">
        <f>EOMONTH(Rohdaten[[#This Row],[von_Datum]],-1)+1</f>
        <v>44866</v>
      </c>
      <c r="J42">
        <f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f>
        <v>0</v>
      </c>
      <c r="K42">
        <f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f>
        <v>0</v>
      </c>
      <c r="L42">
        <f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f>
        <v>1</v>
      </c>
      <c r="M42">
        <f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f>
        <v>0</v>
      </c>
      <c r="N42">
        <f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f>
        <v>0</v>
      </c>
      <c r="O42" s="8">
        <f>EOMONTH(Rohdaten[[#This Row],[bis_Datum]],-1)+1</f>
        <v>44896</v>
      </c>
      <c r="P42">
        <f>+IF(Rohdaten[[#This Row],[Gesamtabwesenheit]]&gt;Rohdaten[[#This Row],[aktueller Monat]],NETWORKDAYS.INTL(EOMONTH(Rohdaten[[#This Row],[von_Datum]],0)+1,Rohdaten[[#This Row],[bis_Datum]],"0111111",Feiertage[[Datum ]]),0)</f>
        <v>0</v>
      </c>
      <c r="Q42">
        <f>+IF(Rohdaten[[#This Row],[Gesamtabwesenheit]]&gt;Rohdaten[[#This Row],[aktueller Monat]],NETWORKDAYS.INTL(EOMONTH(Rohdaten[[#This Row],[von_Datum]],0)+1,Rohdaten[[#This Row],[bis_Datum]],"1011111",Feiertage[[Datum ]]),0)</f>
        <v>0</v>
      </c>
      <c r="R42">
        <f>+IF(Rohdaten[[#This Row],[Gesamtabwesenheit]]&gt;Rohdaten[[#This Row],[aktueller Monat]],NETWORKDAYS.INTL(EOMONTH(Rohdaten[[#This Row],[von_Datum]],0)+1,Rohdaten[[#This Row],[bis_Datum]],"1101111",Feiertage[[Datum ]]),0)</f>
        <v>0</v>
      </c>
      <c r="S42">
        <f>+IF(Rohdaten[[#This Row],[Gesamtabwesenheit]]&gt;Rohdaten[[#This Row],[aktueller Monat]],NETWORKDAYS.INTL(EOMONTH(Rohdaten[[#This Row],[von_Datum]],0)+1,Rohdaten[[#This Row],[bis_Datum]],"1110111",Feiertage[[Datum ]]),0)</f>
        <v>1</v>
      </c>
      <c r="T42">
        <f>+IF(Rohdaten[[#This Row],[Gesamtabwesenheit]]&gt;Rohdaten[[#This Row],[aktueller Monat]],NETWORKDAYS.INTL(EOMONTH(Rohdaten[[#This Row],[von_Datum]],0)+1,Rohdaten[[#This Row],[bis_Datum]],"1111011",Feiertage[[Datum ]]),0)</f>
        <v>1</v>
      </c>
      <c r="V42" s="3"/>
      <c r="W42" s="3"/>
    </row>
    <row r="43" spans="1:23" x14ac:dyDescent="0.3">
      <c r="A43" s="41" t="s">
        <v>53</v>
      </c>
      <c r="B43" s="1" t="str">
        <f>VLOOKUP(A43,DIM_Mitarbeiter!A:D,4,FALSE)</f>
        <v>PROD</v>
      </c>
      <c r="C43" s="42">
        <v>44895</v>
      </c>
      <c r="D43" s="42">
        <v>44898</v>
      </c>
      <c r="E43" s="2" t="s">
        <v>82</v>
      </c>
      <c r="F43" s="1">
        <f>+NETWORKDAYS.INTL(C43,D43,1,Feiertage[[Datum ]])</f>
        <v>3</v>
      </c>
      <c r="G43" s="1">
        <f>+NETWORKDAYS.INTL(C43,IF(Rohdaten[[#This Row],[bis_Datum]]&gt;=EOMONTH(Rohdaten[[#This Row],[von_Datum]],0),EOMONTH(Rohdaten[[#This Row],[von_Datum]],0),Rohdaten[[#This Row],[bis_Datum]]),1,Feiertage[[Datum ]])</f>
        <v>1</v>
      </c>
      <c r="H43" s="1">
        <f>+IF(Rohdaten[[#This Row],[Gesamtabwesenheit]]=Rohdaten[[#This Row],[aktueller Monat]],0,NETWORKDAYS.INTL(EOMONTH(Rohdaten[[#This Row],[von_Datum]],0)+1,Rohdaten[[#This Row],[bis_Datum]],1,Feiertage[[Datum ]]))</f>
        <v>2</v>
      </c>
      <c r="I43" s="8">
        <f>EOMONTH(Rohdaten[[#This Row],[von_Datum]],-1)+1</f>
        <v>44866</v>
      </c>
      <c r="J43">
        <f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f>
        <v>0</v>
      </c>
      <c r="K43">
        <f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f>
        <v>0</v>
      </c>
      <c r="L43">
        <f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f>
        <v>1</v>
      </c>
      <c r="M43">
        <f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f>
        <v>0</v>
      </c>
      <c r="N43">
        <f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f>
        <v>0</v>
      </c>
      <c r="O43" s="8">
        <f>EOMONTH(Rohdaten[[#This Row],[bis_Datum]],-1)+1</f>
        <v>44896</v>
      </c>
      <c r="P43">
        <f>+IF(Rohdaten[[#This Row],[Gesamtabwesenheit]]&gt;Rohdaten[[#This Row],[aktueller Monat]],NETWORKDAYS.INTL(EOMONTH(Rohdaten[[#This Row],[von_Datum]],0)+1,Rohdaten[[#This Row],[bis_Datum]],"0111111",Feiertage[[Datum ]]),0)</f>
        <v>0</v>
      </c>
      <c r="Q43">
        <f>+IF(Rohdaten[[#This Row],[Gesamtabwesenheit]]&gt;Rohdaten[[#This Row],[aktueller Monat]],NETWORKDAYS.INTL(EOMONTH(Rohdaten[[#This Row],[von_Datum]],0)+1,Rohdaten[[#This Row],[bis_Datum]],"1011111",Feiertage[[Datum ]]),0)</f>
        <v>0</v>
      </c>
      <c r="R43">
        <f>+IF(Rohdaten[[#This Row],[Gesamtabwesenheit]]&gt;Rohdaten[[#This Row],[aktueller Monat]],NETWORKDAYS.INTL(EOMONTH(Rohdaten[[#This Row],[von_Datum]],0)+1,Rohdaten[[#This Row],[bis_Datum]],"1101111",Feiertage[[Datum ]]),0)</f>
        <v>0</v>
      </c>
      <c r="S43">
        <f>+IF(Rohdaten[[#This Row],[Gesamtabwesenheit]]&gt;Rohdaten[[#This Row],[aktueller Monat]],NETWORKDAYS.INTL(EOMONTH(Rohdaten[[#This Row],[von_Datum]],0)+1,Rohdaten[[#This Row],[bis_Datum]],"1110111",Feiertage[[Datum ]]),0)</f>
        <v>1</v>
      </c>
      <c r="T43">
        <f>+IF(Rohdaten[[#This Row],[Gesamtabwesenheit]]&gt;Rohdaten[[#This Row],[aktueller Monat]],NETWORKDAYS.INTL(EOMONTH(Rohdaten[[#This Row],[von_Datum]],0)+1,Rohdaten[[#This Row],[bis_Datum]],"1111011",Feiertage[[Datum ]]),0)</f>
        <v>1</v>
      </c>
      <c r="V43" s="3"/>
      <c r="W43" s="3"/>
    </row>
    <row r="44" spans="1:23" x14ac:dyDescent="0.3">
      <c r="A44" s="35" t="s">
        <v>39</v>
      </c>
      <c r="B44" s="34" t="str">
        <f>VLOOKUP(A44,DIM_Mitarbeiter!A:D,4,FALSE)</f>
        <v>VERW</v>
      </c>
      <c r="C44" s="36">
        <v>44896</v>
      </c>
      <c r="D44" s="36">
        <v>44899</v>
      </c>
      <c r="E44" s="2" t="s">
        <v>84</v>
      </c>
      <c r="F44" s="1">
        <f>+NETWORKDAYS.INTL(C44,D44,1,Feiertage[[Datum ]])</f>
        <v>2</v>
      </c>
      <c r="G44" s="1">
        <f>+NETWORKDAYS.INTL(C44,IF(Rohdaten[[#This Row],[bis_Datum]]&gt;=EOMONTH(Rohdaten[[#This Row],[von_Datum]],0),EOMONTH(Rohdaten[[#This Row],[von_Datum]],0),Rohdaten[[#This Row],[bis_Datum]]),1,Feiertage[[Datum ]])</f>
        <v>2</v>
      </c>
      <c r="H44" s="1">
        <f>+IF(Rohdaten[[#This Row],[Gesamtabwesenheit]]=Rohdaten[[#This Row],[aktueller Monat]],0,NETWORKDAYS.INTL(EOMONTH(Rohdaten[[#This Row],[von_Datum]],0)+1,Rohdaten[[#This Row],[bis_Datum]],1,Feiertage[[Datum ]]))</f>
        <v>0</v>
      </c>
      <c r="I44" s="8">
        <f>EOMONTH(Rohdaten[[#This Row],[von_Datum]],-1)+1</f>
        <v>44896</v>
      </c>
      <c r="J44">
        <f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f>
        <v>0</v>
      </c>
      <c r="K44">
        <f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f>
        <v>0</v>
      </c>
      <c r="L44">
        <f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f>
        <v>0</v>
      </c>
      <c r="M44">
        <f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f>
        <v>1</v>
      </c>
      <c r="N44">
        <f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f>
        <v>1</v>
      </c>
      <c r="O44" s="8">
        <f>EOMONTH(Rohdaten[[#This Row],[bis_Datum]],-1)+1</f>
        <v>44896</v>
      </c>
      <c r="P44">
        <f>+IF(Rohdaten[[#This Row],[Gesamtabwesenheit]]&gt;Rohdaten[[#This Row],[aktueller Monat]],NETWORKDAYS.INTL(EOMONTH(Rohdaten[[#This Row],[von_Datum]],0)+1,Rohdaten[[#This Row],[bis_Datum]],"0111111",Feiertage[[Datum ]]),0)</f>
        <v>0</v>
      </c>
      <c r="Q44">
        <f>+IF(Rohdaten[[#This Row],[Gesamtabwesenheit]]&gt;Rohdaten[[#This Row],[aktueller Monat]],NETWORKDAYS.INTL(EOMONTH(Rohdaten[[#This Row],[von_Datum]],0)+1,Rohdaten[[#This Row],[bis_Datum]],"1011111",Feiertage[[Datum ]]),0)</f>
        <v>0</v>
      </c>
      <c r="R44">
        <f>+IF(Rohdaten[[#This Row],[Gesamtabwesenheit]]&gt;Rohdaten[[#This Row],[aktueller Monat]],NETWORKDAYS.INTL(EOMONTH(Rohdaten[[#This Row],[von_Datum]],0)+1,Rohdaten[[#This Row],[bis_Datum]],"1101111",Feiertage[[Datum ]]),0)</f>
        <v>0</v>
      </c>
      <c r="S44">
        <f>+IF(Rohdaten[[#This Row],[Gesamtabwesenheit]]&gt;Rohdaten[[#This Row],[aktueller Monat]],NETWORKDAYS.INTL(EOMONTH(Rohdaten[[#This Row],[von_Datum]],0)+1,Rohdaten[[#This Row],[bis_Datum]],"1110111",Feiertage[[Datum ]]),0)</f>
        <v>0</v>
      </c>
      <c r="T44">
        <f>+IF(Rohdaten[[#This Row],[Gesamtabwesenheit]]&gt;Rohdaten[[#This Row],[aktueller Monat]],NETWORKDAYS.INTL(EOMONTH(Rohdaten[[#This Row],[von_Datum]],0)+1,Rohdaten[[#This Row],[bis_Datum]],"1111011",Feiertage[[Datum ]]),0)</f>
        <v>0</v>
      </c>
      <c r="V44" s="3"/>
      <c r="W44" s="3"/>
    </row>
    <row r="45" spans="1:23" x14ac:dyDescent="0.3">
      <c r="A45" s="35" t="s">
        <v>39</v>
      </c>
      <c r="B45" s="34" t="str">
        <f>VLOOKUP(A45,DIM_Mitarbeiter!A:D,4,FALSE)</f>
        <v>VERW</v>
      </c>
      <c r="C45" s="36">
        <v>44896</v>
      </c>
      <c r="D45" s="36">
        <v>44900</v>
      </c>
      <c r="E45" s="2" t="s">
        <v>84</v>
      </c>
      <c r="F45" s="1">
        <f>+NETWORKDAYS.INTL(C45,D45,1,Feiertage[[Datum ]])</f>
        <v>3</v>
      </c>
      <c r="G45" s="1">
        <f>+NETWORKDAYS.INTL(C45,IF(Rohdaten[[#This Row],[bis_Datum]]&gt;=EOMONTH(Rohdaten[[#This Row],[von_Datum]],0),EOMONTH(Rohdaten[[#This Row],[von_Datum]],0),Rohdaten[[#This Row],[bis_Datum]]),1,Feiertage[[Datum ]])</f>
        <v>3</v>
      </c>
      <c r="H45" s="1">
        <f>+IF(Rohdaten[[#This Row],[Gesamtabwesenheit]]=Rohdaten[[#This Row],[aktueller Monat]],0,NETWORKDAYS.INTL(EOMONTH(Rohdaten[[#This Row],[von_Datum]],0)+1,Rohdaten[[#This Row],[bis_Datum]],1,Feiertage[[Datum ]]))</f>
        <v>0</v>
      </c>
      <c r="I45" s="8">
        <f>EOMONTH(Rohdaten[[#This Row],[von_Datum]],-1)+1</f>
        <v>44896</v>
      </c>
      <c r="J45">
        <f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f>
        <v>1</v>
      </c>
      <c r="K45">
        <f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f>
        <v>0</v>
      </c>
      <c r="L45">
        <f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f>
        <v>0</v>
      </c>
      <c r="M45">
        <f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f>
        <v>1</v>
      </c>
      <c r="N45">
        <f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f>
        <v>1</v>
      </c>
      <c r="O45" s="8">
        <f>EOMONTH(Rohdaten[[#This Row],[bis_Datum]],-1)+1</f>
        <v>44896</v>
      </c>
      <c r="P45">
        <f>+IF(Rohdaten[[#This Row],[Gesamtabwesenheit]]&gt;Rohdaten[[#This Row],[aktueller Monat]],NETWORKDAYS.INTL(EOMONTH(Rohdaten[[#This Row],[von_Datum]],0)+1,Rohdaten[[#This Row],[bis_Datum]],"0111111",Feiertage[[Datum ]]),0)</f>
        <v>0</v>
      </c>
      <c r="Q45">
        <f>+IF(Rohdaten[[#This Row],[Gesamtabwesenheit]]&gt;Rohdaten[[#This Row],[aktueller Monat]],NETWORKDAYS.INTL(EOMONTH(Rohdaten[[#This Row],[von_Datum]],0)+1,Rohdaten[[#This Row],[bis_Datum]],"1011111",Feiertage[[Datum ]]),0)</f>
        <v>0</v>
      </c>
      <c r="R45">
        <f>+IF(Rohdaten[[#This Row],[Gesamtabwesenheit]]&gt;Rohdaten[[#This Row],[aktueller Monat]],NETWORKDAYS.INTL(EOMONTH(Rohdaten[[#This Row],[von_Datum]],0)+1,Rohdaten[[#This Row],[bis_Datum]],"1101111",Feiertage[[Datum ]]),0)</f>
        <v>0</v>
      </c>
      <c r="S45">
        <f>+IF(Rohdaten[[#This Row],[Gesamtabwesenheit]]&gt;Rohdaten[[#This Row],[aktueller Monat]],NETWORKDAYS.INTL(EOMONTH(Rohdaten[[#This Row],[von_Datum]],0)+1,Rohdaten[[#This Row],[bis_Datum]],"1110111",Feiertage[[Datum ]]),0)</f>
        <v>0</v>
      </c>
      <c r="T45">
        <f>+IF(Rohdaten[[#This Row],[Gesamtabwesenheit]]&gt;Rohdaten[[#This Row],[aktueller Monat]],NETWORKDAYS.INTL(EOMONTH(Rohdaten[[#This Row],[von_Datum]],0)+1,Rohdaten[[#This Row],[bis_Datum]],"1111011",Feiertage[[Datum ]]),0)</f>
        <v>0</v>
      </c>
      <c r="V45" s="3"/>
      <c r="W45" s="3"/>
    </row>
    <row r="46" spans="1:23" x14ac:dyDescent="0.3">
      <c r="A46" s="44" t="s">
        <v>69</v>
      </c>
      <c r="B46" s="52" t="str">
        <f>VLOOKUP(A46,DIM_Mitarbeiter!A:D,4,FALSE)</f>
        <v>VERKAUF</v>
      </c>
      <c r="C46" s="50">
        <v>44900</v>
      </c>
      <c r="D46" s="50">
        <v>44902</v>
      </c>
      <c r="E46" s="49" t="s">
        <v>84</v>
      </c>
      <c r="F46" s="1">
        <f>+NETWORKDAYS.INTL(C46,D46,1,Feiertage[[Datum ]])</f>
        <v>3</v>
      </c>
      <c r="G46" s="1">
        <f>+NETWORKDAYS.INTL(C46,IF(Rohdaten[[#This Row],[bis_Datum]]&gt;=EOMONTH(Rohdaten[[#This Row],[von_Datum]],0),EOMONTH(Rohdaten[[#This Row],[von_Datum]],0),Rohdaten[[#This Row],[bis_Datum]]),1,Feiertage[[Datum ]])</f>
        <v>3</v>
      </c>
      <c r="H46" s="1">
        <f>+IF(Rohdaten[[#This Row],[Gesamtabwesenheit]]=Rohdaten[[#This Row],[aktueller Monat]],0,NETWORKDAYS.INTL(EOMONTH(Rohdaten[[#This Row],[von_Datum]],0)+1,Rohdaten[[#This Row],[bis_Datum]],1,Feiertage[[Datum ]]))</f>
        <v>0</v>
      </c>
      <c r="I46" s="8">
        <f>EOMONTH(Rohdaten[[#This Row],[von_Datum]],-1)+1</f>
        <v>44896</v>
      </c>
      <c r="J46">
        <f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f>
        <v>1</v>
      </c>
      <c r="K46">
        <f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f>
        <v>1</v>
      </c>
      <c r="L46">
        <f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f>
        <v>1</v>
      </c>
      <c r="M46">
        <f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f>
        <v>0</v>
      </c>
      <c r="N46">
        <f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f>
        <v>0</v>
      </c>
      <c r="O46" s="8">
        <f>EOMONTH(Rohdaten[[#This Row],[bis_Datum]],-1)+1</f>
        <v>44896</v>
      </c>
      <c r="P46">
        <f>+IF(Rohdaten[[#This Row],[Gesamtabwesenheit]]&gt;Rohdaten[[#This Row],[aktueller Monat]],NETWORKDAYS.INTL(EOMONTH(Rohdaten[[#This Row],[von_Datum]],0)+1,Rohdaten[[#This Row],[bis_Datum]],"0111111",Feiertage[[Datum ]]),0)</f>
        <v>0</v>
      </c>
      <c r="Q46">
        <f>+IF(Rohdaten[[#This Row],[Gesamtabwesenheit]]&gt;Rohdaten[[#This Row],[aktueller Monat]],NETWORKDAYS.INTL(EOMONTH(Rohdaten[[#This Row],[von_Datum]],0)+1,Rohdaten[[#This Row],[bis_Datum]],"1011111",Feiertage[[Datum ]]),0)</f>
        <v>0</v>
      </c>
      <c r="R46">
        <f>+IF(Rohdaten[[#This Row],[Gesamtabwesenheit]]&gt;Rohdaten[[#This Row],[aktueller Monat]],NETWORKDAYS.INTL(EOMONTH(Rohdaten[[#This Row],[von_Datum]],0)+1,Rohdaten[[#This Row],[bis_Datum]],"1101111",Feiertage[[Datum ]]),0)</f>
        <v>0</v>
      </c>
      <c r="S46">
        <f>+IF(Rohdaten[[#This Row],[Gesamtabwesenheit]]&gt;Rohdaten[[#This Row],[aktueller Monat]],NETWORKDAYS.INTL(EOMONTH(Rohdaten[[#This Row],[von_Datum]],0)+1,Rohdaten[[#This Row],[bis_Datum]],"1110111",Feiertage[[Datum ]]),0)</f>
        <v>0</v>
      </c>
      <c r="T46">
        <f>+IF(Rohdaten[[#This Row],[Gesamtabwesenheit]]&gt;Rohdaten[[#This Row],[aktueller Monat]],NETWORKDAYS.INTL(EOMONTH(Rohdaten[[#This Row],[von_Datum]],0)+1,Rohdaten[[#This Row],[bis_Datum]],"1111011",Feiertage[[Datum ]]),0)</f>
        <v>0</v>
      </c>
      <c r="V46" s="3"/>
      <c r="W46" s="3"/>
    </row>
    <row r="47" spans="1:23" x14ac:dyDescent="0.3">
      <c r="A47" s="41" t="s">
        <v>56</v>
      </c>
      <c r="B47" s="1" t="str">
        <f>VLOOKUP(A47,DIM_Mitarbeiter!A:D,4,FALSE)</f>
        <v>VERKAUF</v>
      </c>
      <c r="C47" s="42">
        <v>44901</v>
      </c>
      <c r="D47" s="42">
        <v>44915</v>
      </c>
      <c r="E47" s="2" t="s">
        <v>84</v>
      </c>
      <c r="F47" s="2">
        <f>+NETWORKDAYS.INTL(C47,D47,1,Feiertage[[Datum ]])</f>
        <v>11</v>
      </c>
      <c r="G47" s="2">
        <f>+NETWORKDAYS.INTL(C47,IF(Rohdaten[[#This Row],[bis_Datum]]&gt;=EOMONTH(Rohdaten[[#This Row],[von_Datum]],0),EOMONTH(Rohdaten[[#This Row],[von_Datum]],0),Rohdaten[[#This Row],[bis_Datum]]),1,Feiertage[[Datum ]])</f>
        <v>11</v>
      </c>
      <c r="H47" s="2">
        <f>+IF(Rohdaten[[#This Row],[Gesamtabwesenheit]]=Rohdaten[[#This Row],[aktueller Monat]],0,NETWORKDAYS.INTL(EOMONTH(Rohdaten[[#This Row],[von_Datum]],0)+1,Rohdaten[[#This Row],[bis_Datum]],1,Feiertage[[Datum ]]))</f>
        <v>0</v>
      </c>
      <c r="I47" s="38">
        <f>EOMONTH(Rohdaten[[#This Row],[von_Datum]],-1)+1</f>
        <v>44896</v>
      </c>
      <c r="J47" s="2">
        <f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f>
        <v>2</v>
      </c>
      <c r="K47" s="2">
        <f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f>
        <v>3</v>
      </c>
      <c r="L47">
        <f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f>
        <v>2</v>
      </c>
      <c r="M47">
        <f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f>
        <v>2</v>
      </c>
      <c r="N47">
        <f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f>
        <v>2</v>
      </c>
      <c r="O47" s="8">
        <f>EOMONTH(Rohdaten[[#This Row],[bis_Datum]],-1)+1</f>
        <v>44896</v>
      </c>
      <c r="P47" s="2">
        <f>+IF(Rohdaten[[#This Row],[Gesamtabwesenheit]]&gt;Rohdaten[[#This Row],[aktueller Monat]],NETWORKDAYS.INTL(EOMONTH(Rohdaten[[#This Row],[von_Datum]],0)+1,Rohdaten[[#This Row],[bis_Datum]],"0111111",Feiertage[[Datum ]]),0)</f>
        <v>0</v>
      </c>
      <c r="Q47" s="2">
        <f>+IF(Rohdaten[[#This Row],[Gesamtabwesenheit]]&gt;Rohdaten[[#This Row],[aktueller Monat]],NETWORKDAYS.INTL(EOMONTH(Rohdaten[[#This Row],[von_Datum]],0)+1,Rohdaten[[#This Row],[bis_Datum]],"1011111",Feiertage[[Datum ]]),0)</f>
        <v>0</v>
      </c>
      <c r="R47" s="2">
        <f>+IF(Rohdaten[[#This Row],[Gesamtabwesenheit]]&gt;Rohdaten[[#This Row],[aktueller Monat]],NETWORKDAYS.INTL(EOMONTH(Rohdaten[[#This Row],[von_Datum]],0)+1,Rohdaten[[#This Row],[bis_Datum]],"1101111",Feiertage[[Datum ]]),0)</f>
        <v>0</v>
      </c>
      <c r="S47" s="2">
        <f>+IF(Rohdaten[[#This Row],[Gesamtabwesenheit]]&gt;Rohdaten[[#This Row],[aktueller Monat]],NETWORKDAYS.INTL(EOMONTH(Rohdaten[[#This Row],[von_Datum]],0)+1,Rohdaten[[#This Row],[bis_Datum]],"1110111",Feiertage[[Datum ]]),0)</f>
        <v>0</v>
      </c>
      <c r="T47" s="2">
        <f>+IF(Rohdaten[[#This Row],[Gesamtabwesenheit]]&gt;Rohdaten[[#This Row],[aktueller Monat]],NETWORKDAYS.INTL(EOMONTH(Rohdaten[[#This Row],[von_Datum]],0)+1,Rohdaten[[#This Row],[bis_Datum]],"1111011",Feiertage[[Datum ]]),0)</f>
        <v>0</v>
      </c>
      <c r="V47" s="3"/>
      <c r="W47" s="3"/>
    </row>
    <row r="48" spans="1:23" x14ac:dyDescent="0.3">
      <c r="A48" s="41" t="s">
        <v>60</v>
      </c>
      <c r="B48" s="1" t="str">
        <f>VLOOKUP(A48,DIM_Mitarbeiter!A:D,4,FALSE)</f>
        <v>VERKAUF</v>
      </c>
      <c r="C48" s="42">
        <v>44908</v>
      </c>
      <c r="D48" s="42">
        <v>44908</v>
      </c>
      <c r="E48" s="2" t="s">
        <v>82</v>
      </c>
      <c r="F48" s="18">
        <f>+NETWORKDAYS.INTL(C48,D48,1,Feiertage[[Datum ]])</f>
        <v>1</v>
      </c>
      <c r="G48" s="18">
        <f>+NETWORKDAYS.INTL(C48,IF(Rohdaten[[#This Row],[bis_Datum]]&gt;=EOMONTH(Rohdaten[[#This Row],[von_Datum]],0),EOMONTH(Rohdaten[[#This Row],[von_Datum]],0),Rohdaten[[#This Row],[bis_Datum]]),1,Feiertage[[Datum ]])</f>
        <v>1</v>
      </c>
      <c r="H48" s="18">
        <f>+IF(Rohdaten[[#This Row],[Gesamtabwesenheit]]=Rohdaten[[#This Row],[aktueller Monat]],0,NETWORKDAYS.INTL(EOMONTH(Rohdaten[[#This Row],[von_Datum]],0)+1,Rohdaten[[#This Row],[bis_Datum]],1,Feiertage[[Datum ]]))</f>
        <v>0</v>
      </c>
      <c r="I48" s="8">
        <f>EOMONTH(Rohdaten[[#This Row],[von_Datum]],-1)+1</f>
        <v>44896</v>
      </c>
      <c r="J48">
        <f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f>
        <v>0</v>
      </c>
      <c r="K48">
        <f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f>
        <v>1</v>
      </c>
      <c r="L48">
        <f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f>
        <v>0</v>
      </c>
      <c r="M48">
        <f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f>
        <v>0</v>
      </c>
      <c r="N48">
        <f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f>
        <v>0</v>
      </c>
      <c r="O48" s="8">
        <f>EOMONTH(Rohdaten[[#This Row],[bis_Datum]],-1)+1</f>
        <v>44896</v>
      </c>
      <c r="P48">
        <f>+IF(Rohdaten[[#This Row],[Gesamtabwesenheit]]&gt;Rohdaten[[#This Row],[aktueller Monat]],NETWORKDAYS.INTL(EOMONTH(Rohdaten[[#This Row],[von_Datum]],0)+1,Rohdaten[[#This Row],[bis_Datum]],"0111111",Feiertage[[Datum ]]),0)</f>
        <v>0</v>
      </c>
      <c r="Q48">
        <f>+IF(Rohdaten[[#This Row],[Gesamtabwesenheit]]&gt;Rohdaten[[#This Row],[aktueller Monat]],NETWORKDAYS.INTL(EOMONTH(Rohdaten[[#This Row],[von_Datum]],0)+1,Rohdaten[[#This Row],[bis_Datum]],"1011111",Feiertage[[Datum ]]),0)</f>
        <v>0</v>
      </c>
      <c r="R48">
        <f>+IF(Rohdaten[[#This Row],[Gesamtabwesenheit]]&gt;Rohdaten[[#This Row],[aktueller Monat]],NETWORKDAYS.INTL(EOMONTH(Rohdaten[[#This Row],[von_Datum]],0)+1,Rohdaten[[#This Row],[bis_Datum]],"1101111",Feiertage[[Datum ]]),0)</f>
        <v>0</v>
      </c>
      <c r="S48">
        <f>+IF(Rohdaten[[#This Row],[Gesamtabwesenheit]]&gt;Rohdaten[[#This Row],[aktueller Monat]],NETWORKDAYS.INTL(EOMONTH(Rohdaten[[#This Row],[von_Datum]],0)+1,Rohdaten[[#This Row],[bis_Datum]],"1110111",Feiertage[[Datum ]]),0)</f>
        <v>0</v>
      </c>
      <c r="T48">
        <f>+IF(Rohdaten[[#This Row],[Gesamtabwesenheit]]&gt;Rohdaten[[#This Row],[aktueller Monat]],NETWORKDAYS.INTL(EOMONTH(Rohdaten[[#This Row],[von_Datum]],0)+1,Rohdaten[[#This Row],[bis_Datum]],"1111011",Feiertage[[Datum ]]),0)</f>
        <v>0</v>
      </c>
      <c r="V48" s="3"/>
      <c r="W48" s="3"/>
    </row>
    <row r="49" spans="1:23" x14ac:dyDescent="0.3">
      <c r="A49" s="44" t="s">
        <v>72</v>
      </c>
      <c r="B49" s="52" t="str">
        <f>VLOOKUP(A49,DIM_Mitarbeiter!A:D,4,FALSE)</f>
        <v>PROD</v>
      </c>
      <c r="C49" s="50">
        <v>44909</v>
      </c>
      <c r="D49" s="50">
        <v>44931</v>
      </c>
      <c r="E49" s="49" t="s">
        <v>82</v>
      </c>
      <c r="F49" s="1">
        <f>+NETWORKDAYS.INTL(C49,D49,1,Feiertage[[Datum ]])</f>
        <v>16</v>
      </c>
      <c r="G49" s="1">
        <f>+NETWORKDAYS.INTL(C49,IF(Rohdaten[[#This Row],[bis_Datum]]&gt;=EOMONTH(Rohdaten[[#This Row],[von_Datum]],0),EOMONTH(Rohdaten[[#This Row],[von_Datum]],0),Rohdaten[[#This Row],[bis_Datum]]),1,Feiertage[[Datum ]])</f>
        <v>12</v>
      </c>
      <c r="H49" s="1">
        <f>+IF(Rohdaten[[#This Row],[Gesamtabwesenheit]]=Rohdaten[[#This Row],[aktueller Monat]],0,NETWORKDAYS.INTL(EOMONTH(Rohdaten[[#This Row],[von_Datum]],0)+1,Rohdaten[[#This Row],[bis_Datum]],1,Feiertage[[Datum ]]))</f>
        <v>4</v>
      </c>
      <c r="I49" s="8">
        <f>EOMONTH(Rohdaten[[#This Row],[von_Datum]],-1)+1</f>
        <v>44896</v>
      </c>
      <c r="J49">
        <f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f>
        <v>1</v>
      </c>
      <c r="K49">
        <f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f>
        <v>2</v>
      </c>
      <c r="L49">
        <f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f>
        <v>3</v>
      </c>
      <c r="M49">
        <f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f>
        <v>3</v>
      </c>
      <c r="N49">
        <f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f>
        <v>3</v>
      </c>
      <c r="O49" s="8">
        <f>EOMONTH(Rohdaten[[#This Row],[bis_Datum]],-1)+1</f>
        <v>44927</v>
      </c>
      <c r="P49">
        <f>+IF(Rohdaten[[#This Row],[Gesamtabwesenheit]]&gt;Rohdaten[[#This Row],[aktueller Monat]],NETWORKDAYS.INTL(EOMONTH(Rohdaten[[#This Row],[von_Datum]],0)+1,Rohdaten[[#This Row],[bis_Datum]],"0111111",Feiertage[[Datum ]]),0)</f>
        <v>1</v>
      </c>
      <c r="Q49">
        <f>+IF(Rohdaten[[#This Row],[Gesamtabwesenheit]]&gt;Rohdaten[[#This Row],[aktueller Monat]],NETWORKDAYS.INTL(EOMONTH(Rohdaten[[#This Row],[von_Datum]],0)+1,Rohdaten[[#This Row],[bis_Datum]],"1011111",Feiertage[[Datum ]]),0)</f>
        <v>1</v>
      </c>
      <c r="R49">
        <f>+IF(Rohdaten[[#This Row],[Gesamtabwesenheit]]&gt;Rohdaten[[#This Row],[aktueller Monat]],NETWORKDAYS.INTL(EOMONTH(Rohdaten[[#This Row],[von_Datum]],0)+1,Rohdaten[[#This Row],[bis_Datum]],"1101111",Feiertage[[Datum ]]),0)</f>
        <v>1</v>
      </c>
      <c r="S49">
        <f>+IF(Rohdaten[[#This Row],[Gesamtabwesenheit]]&gt;Rohdaten[[#This Row],[aktueller Monat]],NETWORKDAYS.INTL(EOMONTH(Rohdaten[[#This Row],[von_Datum]],0)+1,Rohdaten[[#This Row],[bis_Datum]],"1110111",Feiertage[[Datum ]]),0)</f>
        <v>1</v>
      </c>
      <c r="T49">
        <f>+IF(Rohdaten[[#This Row],[Gesamtabwesenheit]]&gt;Rohdaten[[#This Row],[aktueller Monat]],NETWORKDAYS.INTL(EOMONTH(Rohdaten[[#This Row],[von_Datum]],0)+1,Rohdaten[[#This Row],[bis_Datum]],"1111011",Feiertage[[Datum ]]),0)</f>
        <v>0</v>
      </c>
      <c r="V49" s="3"/>
      <c r="W49" s="3"/>
    </row>
    <row r="50" spans="1:23" x14ac:dyDescent="0.3">
      <c r="A50" s="41" t="s">
        <v>63</v>
      </c>
      <c r="B50" s="1" t="str">
        <f>VLOOKUP(A50,DIM_Mitarbeiter!A:D,4,FALSE)</f>
        <v>VERKAUF</v>
      </c>
      <c r="C50" s="42">
        <v>44914</v>
      </c>
      <c r="D50" s="42">
        <v>44919</v>
      </c>
      <c r="E50" s="2" t="s">
        <v>84</v>
      </c>
      <c r="F50" s="1">
        <f>+NETWORKDAYS.INTL(C50,D50,1,Feiertage[[Datum ]])</f>
        <v>5</v>
      </c>
      <c r="G50" s="1">
        <f>+NETWORKDAYS.INTL(C50,IF(Rohdaten[[#This Row],[bis_Datum]]&gt;=EOMONTH(Rohdaten[[#This Row],[von_Datum]],0),EOMONTH(Rohdaten[[#This Row],[von_Datum]],0),Rohdaten[[#This Row],[bis_Datum]]),1,Feiertage[[Datum ]])</f>
        <v>5</v>
      </c>
      <c r="H50" s="1">
        <f>+IF(Rohdaten[[#This Row],[Gesamtabwesenheit]]=Rohdaten[[#This Row],[aktueller Monat]],0,NETWORKDAYS.INTL(EOMONTH(Rohdaten[[#This Row],[von_Datum]],0)+1,Rohdaten[[#This Row],[bis_Datum]],1,Feiertage[[Datum ]]))</f>
        <v>0</v>
      </c>
      <c r="I50" s="8">
        <f>EOMONTH(Rohdaten[[#This Row],[von_Datum]],-1)+1</f>
        <v>44896</v>
      </c>
      <c r="J50">
        <f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f>
        <v>1</v>
      </c>
      <c r="K50">
        <f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f>
        <v>1</v>
      </c>
      <c r="L50">
        <f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f>
        <v>1</v>
      </c>
      <c r="M50">
        <f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f>
        <v>1</v>
      </c>
      <c r="N50">
        <f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f>
        <v>1</v>
      </c>
      <c r="O50" s="8">
        <f>EOMONTH(Rohdaten[[#This Row],[bis_Datum]],-1)+1</f>
        <v>44896</v>
      </c>
      <c r="P50">
        <f>+IF(Rohdaten[[#This Row],[Gesamtabwesenheit]]&gt;Rohdaten[[#This Row],[aktueller Monat]],NETWORKDAYS.INTL(EOMONTH(Rohdaten[[#This Row],[von_Datum]],0)+1,Rohdaten[[#This Row],[bis_Datum]],"0111111",Feiertage[[Datum ]]),0)</f>
        <v>0</v>
      </c>
      <c r="Q50">
        <f>+IF(Rohdaten[[#This Row],[Gesamtabwesenheit]]&gt;Rohdaten[[#This Row],[aktueller Monat]],NETWORKDAYS.INTL(EOMONTH(Rohdaten[[#This Row],[von_Datum]],0)+1,Rohdaten[[#This Row],[bis_Datum]],"1011111",Feiertage[[Datum ]]),0)</f>
        <v>0</v>
      </c>
      <c r="R50">
        <f>+IF(Rohdaten[[#This Row],[Gesamtabwesenheit]]&gt;Rohdaten[[#This Row],[aktueller Monat]],NETWORKDAYS.INTL(EOMONTH(Rohdaten[[#This Row],[von_Datum]],0)+1,Rohdaten[[#This Row],[bis_Datum]],"1101111",Feiertage[[Datum ]]),0)</f>
        <v>0</v>
      </c>
      <c r="S50">
        <f>+IF(Rohdaten[[#This Row],[Gesamtabwesenheit]]&gt;Rohdaten[[#This Row],[aktueller Monat]],NETWORKDAYS.INTL(EOMONTH(Rohdaten[[#This Row],[von_Datum]],0)+1,Rohdaten[[#This Row],[bis_Datum]],"1110111",Feiertage[[Datum ]]),0)</f>
        <v>0</v>
      </c>
      <c r="T50">
        <f>+IF(Rohdaten[[#This Row],[Gesamtabwesenheit]]&gt;Rohdaten[[#This Row],[aktueller Monat]],NETWORKDAYS.INTL(EOMONTH(Rohdaten[[#This Row],[von_Datum]],0)+1,Rohdaten[[#This Row],[bis_Datum]],"1111011",Feiertage[[Datum ]]),0)</f>
        <v>0</v>
      </c>
      <c r="V50" s="3"/>
      <c r="W50" s="3"/>
    </row>
    <row r="51" spans="1:23" x14ac:dyDescent="0.3">
      <c r="A51" s="41" t="s">
        <v>50</v>
      </c>
      <c r="B51" s="1" t="str">
        <f>VLOOKUP(A51,DIM_Mitarbeiter!A:D,4,FALSE)</f>
        <v>PROD</v>
      </c>
      <c r="C51" s="42">
        <v>44915</v>
      </c>
      <c r="D51" s="42">
        <v>44931</v>
      </c>
      <c r="E51" s="2" t="s">
        <v>82</v>
      </c>
      <c r="F51" s="1">
        <f>+NETWORKDAYS.INTL(C51,D51,1,Feiertage[[Datum ]])</f>
        <v>12</v>
      </c>
      <c r="G51" s="1">
        <f>+NETWORKDAYS.INTL(C51,IF(Rohdaten[[#This Row],[bis_Datum]]&gt;=EOMONTH(Rohdaten[[#This Row],[von_Datum]],0),EOMONTH(Rohdaten[[#This Row],[von_Datum]],0),Rohdaten[[#This Row],[bis_Datum]]),1,Feiertage[[Datum ]])</f>
        <v>8</v>
      </c>
      <c r="H51" s="1">
        <f>+IF(Rohdaten[[#This Row],[Gesamtabwesenheit]]=Rohdaten[[#This Row],[aktueller Monat]],0,NETWORKDAYS.INTL(EOMONTH(Rohdaten[[#This Row],[von_Datum]],0)+1,Rohdaten[[#This Row],[bis_Datum]],1,Feiertage[[Datum ]]))</f>
        <v>4</v>
      </c>
      <c r="I51" s="8">
        <f>EOMONTH(Rohdaten[[#This Row],[von_Datum]],-1)+1</f>
        <v>44896</v>
      </c>
      <c r="J51">
        <f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f>
        <v>0</v>
      </c>
      <c r="K51">
        <f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f>
        <v>2</v>
      </c>
      <c r="L51">
        <f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f>
        <v>2</v>
      </c>
      <c r="M51">
        <f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f>
        <v>2</v>
      </c>
      <c r="N51">
        <f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f>
        <v>2</v>
      </c>
      <c r="O51" s="8">
        <f>EOMONTH(Rohdaten[[#This Row],[bis_Datum]],-1)+1</f>
        <v>44927</v>
      </c>
      <c r="P51">
        <f>+IF(Rohdaten[[#This Row],[Gesamtabwesenheit]]&gt;Rohdaten[[#This Row],[aktueller Monat]],NETWORKDAYS.INTL(EOMONTH(Rohdaten[[#This Row],[von_Datum]],0)+1,Rohdaten[[#This Row],[bis_Datum]],"0111111",Feiertage[[Datum ]]),0)</f>
        <v>1</v>
      </c>
      <c r="Q51">
        <f>+IF(Rohdaten[[#This Row],[Gesamtabwesenheit]]&gt;Rohdaten[[#This Row],[aktueller Monat]],NETWORKDAYS.INTL(EOMONTH(Rohdaten[[#This Row],[von_Datum]],0)+1,Rohdaten[[#This Row],[bis_Datum]],"1011111",Feiertage[[Datum ]]),0)</f>
        <v>1</v>
      </c>
      <c r="R51">
        <f>+IF(Rohdaten[[#This Row],[Gesamtabwesenheit]]&gt;Rohdaten[[#This Row],[aktueller Monat]],NETWORKDAYS.INTL(EOMONTH(Rohdaten[[#This Row],[von_Datum]],0)+1,Rohdaten[[#This Row],[bis_Datum]],"1101111",Feiertage[[Datum ]]),0)</f>
        <v>1</v>
      </c>
      <c r="S51">
        <f>+IF(Rohdaten[[#This Row],[Gesamtabwesenheit]]&gt;Rohdaten[[#This Row],[aktueller Monat]],NETWORKDAYS.INTL(EOMONTH(Rohdaten[[#This Row],[von_Datum]],0)+1,Rohdaten[[#This Row],[bis_Datum]],"1110111",Feiertage[[Datum ]]),0)</f>
        <v>1</v>
      </c>
      <c r="T51">
        <f>+IF(Rohdaten[[#This Row],[Gesamtabwesenheit]]&gt;Rohdaten[[#This Row],[aktueller Monat]],NETWORKDAYS.INTL(EOMONTH(Rohdaten[[#This Row],[von_Datum]],0)+1,Rohdaten[[#This Row],[bis_Datum]],"1111011",Feiertage[[Datum ]]),0)</f>
        <v>0</v>
      </c>
      <c r="V51" s="3"/>
      <c r="W51" s="3"/>
    </row>
    <row r="52" spans="1:23" x14ac:dyDescent="0.3">
      <c r="A52" s="46" t="s">
        <v>66</v>
      </c>
      <c r="B52" s="47" t="str">
        <f>VLOOKUP(A52,DIM_Mitarbeiter!A:D,4,FALSE)</f>
        <v>VERW</v>
      </c>
      <c r="C52" s="48">
        <v>44917</v>
      </c>
      <c r="D52" s="48">
        <v>44924</v>
      </c>
      <c r="E52" s="52" t="s">
        <v>84</v>
      </c>
      <c r="F52" s="1">
        <f>+NETWORKDAYS.INTL(C52,D52,1,Feiertage[[Datum ]])</f>
        <v>5</v>
      </c>
      <c r="G52" s="1">
        <f>+NETWORKDAYS.INTL(C52,IF(Rohdaten[[#This Row],[bis_Datum]]&gt;=EOMONTH(Rohdaten[[#This Row],[von_Datum]],0),EOMONTH(Rohdaten[[#This Row],[von_Datum]],0),Rohdaten[[#This Row],[bis_Datum]]),1,Feiertage[[Datum ]])</f>
        <v>5</v>
      </c>
      <c r="H52" s="1">
        <f>+IF(Rohdaten[[#This Row],[Gesamtabwesenheit]]=Rohdaten[[#This Row],[aktueller Monat]],0,NETWORKDAYS.INTL(EOMONTH(Rohdaten[[#This Row],[von_Datum]],0)+1,Rohdaten[[#This Row],[bis_Datum]],1,Feiertage[[Datum ]]))</f>
        <v>0</v>
      </c>
      <c r="I52" s="8">
        <f>EOMONTH(Rohdaten[[#This Row],[von_Datum]],-1)+1</f>
        <v>44896</v>
      </c>
      <c r="J52">
        <f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f>
        <v>0</v>
      </c>
      <c r="K52">
        <f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f>
        <v>1</v>
      </c>
      <c r="L52">
        <f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f>
        <v>1</v>
      </c>
      <c r="M52">
        <f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f>
        <v>2</v>
      </c>
      <c r="N52">
        <f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f>
        <v>1</v>
      </c>
      <c r="O52" s="8">
        <f>EOMONTH(Rohdaten[[#This Row],[bis_Datum]],-1)+1</f>
        <v>44896</v>
      </c>
      <c r="P52">
        <f>+IF(Rohdaten[[#This Row],[Gesamtabwesenheit]]&gt;Rohdaten[[#This Row],[aktueller Monat]],NETWORKDAYS.INTL(EOMONTH(Rohdaten[[#This Row],[von_Datum]],0)+1,Rohdaten[[#This Row],[bis_Datum]],"0111111",Feiertage[[Datum ]]),0)</f>
        <v>0</v>
      </c>
      <c r="Q52">
        <f>+IF(Rohdaten[[#This Row],[Gesamtabwesenheit]]&gt;Rohdaten[[#This Row],[aktueller Monat]],NETWORKDAYS.INTL(EOMONTH(Rohdaten[[#This Row],[von_Datum]],0)+1,Rohdaten[[#This Row],[bis_Datum]],"1011111",Feiertage[[Datum ]]),0)</f>
        <v>0</v>
      </c>
      <c r="R52">
        <f>+IF(Rohdaten[[#This Row],[Gesamtabwesenheit]]&gt;Rohdaten[[#This Row],[aktueller Monat]],NETWORKDAYS.INTL(EOMONTH(Rohdaten[[#This Row],[von_Datum]],0)+1,Rohdaten[[#This Row],[bis_Datum]],"1101111",Feiertage[[Datum ]]),0)</f>
        <v>0</v>
      </c>
      <c r="S52">
        <f>+IF(Rohdaten[[#This Row],[Gesamtabwesenheit]]&gt;Rohdaten[[#This Row],[aktueller Monat]],NETWORKDAYS.INTL(EOMONTH(Rohdaten[[#This Row],[von_Datum]],0)+1,Rohdaten[[#This Row],[bis_Datum]],"1110111",Feiertage[[Datum ]]),0)</f>
        <v>0</v>
      </c>
      <c r="T52">
        <f>+IF(Rohdaten[[#This Row],[Gesamtabwesenheit]]&gt;Rohdaten[[#This Row],[aktueller Monat]],NETWORKDAYS.INTL(EOMONTH(Rohdaten[[#This Row],[von_Datum]],0)+1,Rohdaten[[#This Row],[bis_Datum]],"1111011",Feiertage[[Datum ]]),0)</f>
        <v>0</v>
      </c>
      <c r="V52" s="3"/>
      <c r="W52" s="3"/>
    </row>
    <row r="53" spans="1:23" x14ac:dyDescent="0.3">
      <c r="A53" s="41" t="s">
        <v>60</v>
      </c>
      <c r="B53" s="1" t="str">
        <f>VLOOKUP(A53,DIM_Mitarbeiter!A:D,4,FALSE)</f>
        <v>VERKAUF</v>
      </c>
      <c r="C53" s="40">
        <v>44918</v>
      </c>
      <c r="D53" s="40">
        <v>44931</v>
      </c>
      <c r="E53" s="1" t="s">
        <v>82</v>
      </c>
      <c r="F53" s="1">
        <f>+NETWORKDAYS.INTL(C53,D53,1,Feiertage[[Datum ]])</f>
        <v>9</v>
      </c>
      <c r="G53" s="1">
        <f>+NETWORKDAYS.INTL(C53,IF(Rohdaten[[#This Row],[bis_Datum]]&gt;=EOMONTH(Rohdaten[[#This Row],[von_Datum]],0),EOMONTH(Rohdaten[[#This Row],[von_Datum]],0),Rohdaten[[#This Row],[bis_Datum]]),1,Feiertage[[Datum ]])</f>
        <v>5</v>
      </c>
      <c r="H53" s="1">
        <f>+IF(Rohdaten[[#This Row],[Gesamtabwesenheit]]=Rohdaten[[#This Row],[aktueller Monat]],0,NETWORKDAYS.INTL(EOMONTH(Rohdaten[[#This Row],[von_Datum]],0)+1,Rohdaten[[#This Row],[bis_Datum]],1,Feiertage[[Datum ]]))</f>
        <v>4</v>
      </c>
      <c r="I53" s="8">
        <f>EOMONTH(Rohdaten[[#This Row],[von_Datum]],-1)+1</f>
        <v>44896</v>
      </c>
      <c r="J53">
        <f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f>
        <v>0</v>
      </c>
      <c r="K53">
        <f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f>
        <v>1</v>
      </c>
      <c r="L53">
        <f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f>
        <v>1</v>
      </c>
      <c r="M53">
        <f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f>
        <v>1</v>
      </c>
      <c r="N53">
        <f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f>
        <v>2</v>
      </c>
      <c r="O53" s="8">
        <f>EOMONTH(Rohdaten[[#This Row],[bis_Datum]],-1)+1</f>
        <v>44927</v>
      </c>
      <c r="P53">
        <f>+IF(Rohdaten[[#This Row],[Gesamtabwesenheit]]&gt;Rohdaten[[#This Row],[aktueller Monat]],NETWORKDAYS.INTL(EOMONTH(Rohdaten[[#This Row],[von_Datum]],0)+1,Rohdaten[[#This Row],[bis_Datum]],"0111111",Feiertage[[Datum ]]),0)</f>
        <v>1</v>
      </c>
      <c r="Q53">
        <f>+IF(Rohdaten[[#This Row],[Gesamtabwesenheit]]&gt;Rohdaten[[#This Row],[aktueller Monat]],NETWORKDAYS.INTL(EOMONTH(Rohdaten[[#This Row],[von_Datum]],0)+1,Rohdaten[[#This Row],[bis_Datum]],"1011111",Feiertage[[Datum ]]),0)</f>
        <v>1</v>
      </c>
      <c r="R53">
        <f>+IF(Rohdaten[[#This Row],[Gesamtabwesenheit]]&gt;Rohdaten[[#This Row],[aktueller Monat]],NETWORKDAYS.INTL(EOMONTH(Rohdaten[[#This Row],[von_Datum]],0)+1,Rohdaten[[#This Row],[bis_Datum]],"1101111",Feiertage[[Datum ]]),0)</f>
        <v>1</v>
      </c>
      <c r="S53">
        <f>+IF(Rohdaten[[#This Row],[Gesamtabwesenheit]]&gt;Rohdaten[[#This Row],[aktueller Monat]],NETWORKDAYS.INTL(EOMONTH(Rohdaten[[#This Row],[von_Datum]],0)+1,Rohdaten[[#This Row],[bis_Datum]],"1110111",Feiertage[[Datum ]]),0)</f>
        <v>1</v>
      </c>
      <c r="T53">
        <f>+IF(Rohdaten[[#This Row],[Gesamtabwesenheit]]&gt;Rohdaten[[#This Row],[aktueller Monat]],NETWORKDAYS.INTL(EOMONTH(Rohdaten[[#This Row],[von_Datum]],0)+1,Rohdaten[[#This Row],[bis_Datum]],"1111011",Feiertage[[Datum ]]),0)</f>
        <v>0</v>
      </c>
      <c r="V53" s="3"/>
      <c r="W53" s="3"/>
    </row>
    <row r="54" spans="1:23" x14ac:dyDescent="0.3">
      <c r="A54" s="44" t="s">
        <v>63</v>
      </c>
      <c r="B54" s="52" t="str">
        <f>VLOOKUP(A54,DIM_Mitarbeiter!A:D,4,FALSE)</f>
        <v>VERKAUF</v>
      </c>
      <c r="C54" s="53">
        <v>44920</v>
      </c>
      <c r="D54" s="53">
        <v>44927</v>
      </c>
      <c r="E54" s="52" t="s">
        <v>84</v>
      </c>
      <c r="F54" s="1">
        <f>+NETWORKDAYS.INTL(C54,D54,1,Feiertage[[Datum ]])</f>
        <v>4</v>
      </c>
      <c r="G54" s="1">
        <f>+NETWORKDAYS.INTL(C54,IF(Rohdaten[[#This Row],[bis_Datum]]&gt;=EOMONTH(Rohdaten[[#This Row],[von_Datum]],0),EOMONTH(Rohdaten[[#This Row],[von_Datum]],0),Rohdaten[[#This Row],[bis_Datum]]),1,Feiertage[[Datum ]])</f>
        <v>4</v>
      </c>
      <c r="H54" s="1">
        <f>+IF(Rohdaten[[#This Row],[Gesamtabwesenheit]]=Rohdaten[[#This Row],[aktueller Monat]],0,NETWORKDAYS.INTL(EOMONTH(Rohdaten[[#This Row],[von_Datum]],0)+1,Rohdaten[[#This Row],[bis_Datum]],1,Feiertage[[Datum ]]))</f>
        <v>0</v>
      </c>
      <c r="I54" s="8">
        <f>EOMONTH(Rohdaten[[#This Row],[von_Datum]],-1)+1</f>
        <v>44896</v>
      </c>
      <c r="J54">
        <f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f>
        <v>0</v>
      </c>
      <c r="K54">
        <f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f>
        <v>1</v>
      </c>
      <c r="L54">
        <f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f>
        <v>1</v>
      </c>
      <c r="M54">
        <f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f>
        <v>1</v>
      </c>
      <c r="N54">
        <f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f>
        <v>1</v>
      </c>
      <c r="O54" s="8">
        <f>EOMONTH(Rohdaten[[#This Row],[bis_Datum]],-1)+1</f>
        <v>44927</v>
      </c>
      <c r="P54">
        <f>+IF(Rohdaten[[#This Row],[Gesamtabwesenheit]]&gt;Rohdaten[[#This Row],[aktueller Monat]],NETWORKDAYS.INTL(EOMONTH(Rohdaten[[#This Row],[von_Datum]],0)+1,Rohdaten[[#This Row],[bis_Datum]],"0111111",Feiertage[[Datum ]]),0)</f>
        <v>0</v>
      </c>
      <c r="Q54">
        <f>+IF(Rohdaten[[#This Row],[Gesamtabwesenheit]]&gt;Rohdaten[[#This Row],[aktueller Monat]],NETWORKDAYS.INTL(EOMONTH(Rohdaten[[#This Row],[von_Datum]],0)+1,Rohdaten[[#This Row],[bis_Datum]],"1011111",Feiertage[[Datum ]]),0)</f>
        <v>0</v>
      </c>
      <c r="R54">
        <f>+IF(Rohdaten[[#This Row],[Gesamtabwesenheit]]&gt;Rohdaten[[#This Row],[aktueller Monat]],NETWORKDAYS.INTL(EOMONTH(Rohdaten[[#This Row],[von_Datum]],0)+1,Rohdaten[[#This Row],[bis_Datum]],"1101111",Feiertage[[Datum ]]),0)</f>
        <v>0</v>
      </c>
      <c r="S54">
        <f>+IF(Rohdaten[[#This Row],[Gesamtabwesenheit]]&gt;Rohdaten[[#This Row],[aktueller Monat]],NETWORKDAYS.INTL(EOMONTH(Rohdaten[[#This Row],[von_Datum]],0)+1,Rohdaten[[#This Row],[bis_Datum]],"1110111",Feiertage[[Datum ]]),0)</f>
        <v>0</v>
      </c>
      <c r="T54">
        <f>+IF(Rohdaten[[#This Row],[Gesamtabwesenheit]]&gt;Rohdaten[[#This Row],[aktueller Monat]],NETWORKDAYS.INTL(EOMONTH(Rohdaten[[#This Row],[von_Datum]],0)+1,Rohdaten[[#This Row],[bis_Datum]],"1111011",Feiertage[[Datum ]]),0)</f>
        <v>0</v>
      </c>
      <c r="V54" s="3"/>
      <c r="W54" s="3"/>
    </row>
    <row r="55" spans="1:23" x14ac:dyDescent="0.3">
      <c r="A55" s="46" t="s">
        <v>66</v>
      </c>
      <c r="B55" s="47" t="str">
        <f>VLOOKUP(A55,DIM_Mitarbeiter!A:D,4,FALSE)</f>
        <v>VERW</v>
      </c>
      <c r="C55" s="51">
        <v>44923</v>
      </c>
      <c r="D55" s="51">
        <v>44928</v>
      </c>
      <c r="E55" s="52" t="s">
        <v>82</v>
      </c>
      <c r="F55" s="1">
        <f>+NETWORKDAYS.INTL(C55,D55,1,Feiertage[[Datum ]])</f>
        <v>4</v>
      </c>
      <c r="G55" s="1">
        <f>+NETWORKDAYS.INTL(C55,IF(Rohdaten[[#This Row],[bis_Datum]]&gt;=EOMONTH(Rohdaten[[#This Row],[von_Datum]],0),EOMONTH(Rohdaten[[#This Row],[von_Datum]],0),Rohdaten[[#This Row],[bis_Datum]]),1,Feiertage[[Datum ]])</f>
        <v>3</v>
      </c>
      <c r="H55" s="1">
        <f>+IF(Rohdaten[[#This Row],[Gesamtabwesenheit]]=Rohdaten[[#This Row],[aktueller Monat]],0,NETWORKDAYS.INTL(EOMONTH(Rohdaten[[#This Row],[von_Datum]],0)+1,Rohdaten[[#This Row],[bis_Datum]],1,Feiertage[[Datum ]]))</f>
        <v>1</v>
      </c>
      <c r="I55" s="8">
        <f>EOMONTH(Rohdaten[[#This Row],[von_Datum]],-1)+1</f>
        <v>44896</v>
      </c>
      <c r="J55">
        <f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f>
        <v>0</v>
      </c>
      <c r="K55">
        <f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f>
        <v>0</v>
      </c>
      <c r="L55">
        <f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f>
        <v>1</v>
      </c>
      <c r="M55">
        <f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f>
        <v>1</v>
      </c>
      <c r="N55">
        <f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f>
        <v>1</v>
      </c>
      <c r="O55" s="8">
        <f>EOMONTH(Rohdaten[[#This Row],[bis_Datum]],-1)+1</f>
        <v>44927</v>
      </c>
      <c r="P55">
        <f>+IF(Rohdaten[[#This Row],[Gesamtabwesenheit]]&gt;Rohdaten[[#This Row],[aktueller Monat]],NETWORKDAYS.INTL(EOMONTH(Rohdaten[[#This Row],[von_Datum]],0)+1,Rohdaten[[#This Row],[bis_Datum]],"0111111",Feiertage[[Datum ]]),0)</f>
        <v>1</v>
      </c>
      <c r="Q55">
        <f>+IF(Rohdaten[[#This Row],[Gesamtabwesenheit]]&gt;Rohdaten[[#This Row],[aktueller Monat]],NETWORKDAYS.INTL(EOMONTH(Rohdaten[[#This Row],[von_Datum]],0)+1,Rohdaten[[#This Row],[bis_Datum]],"1011111",Feiertage[[Datum ]]),0)</f>
        <v>0</v>
      </c>
      <c r="R55">
        <f>+IF(Rohdaten[[#This Row],[Gesamtabwesenheit]]&gt;Rohdaten[[#This Row],[aktueller Monat]],NETWORKDAYS.INTL(EOMONTH(Rohdaten[[#This Row],[von_Datum]],0)+1,Rohdaten[[#This Row],[bis_Datum]],"1101111",Feiertage[[Datum ]]),0)</f>
        <v>0</v>
      </c>
      <c r="S55">
        <f>+IF(Rohdaten[[#This Row],[Gesamtabwesenheit]]&gt;Rohdaten[[#This Row],[aktueller Monat]],NETWORKDAYS.INTL(EOMONTH(Rohdaten[[#This Row],[von_Datum]],0)+1,Rohdaten[[#This Row],[bis_Datum]],"1110111",Feiertage[[Datum ]]),0)</f>
        <v>0</v>
      </c>
      <c r="T55">
        <f>+IF(Rohdaten[[#This Row],[Gesamtabwesenheit]]&gt;Rohdaten[[#This Row],[aktueller Monat]],NETWORKDAYS.INTL(EOMONTH(Rohdaten[[#This Row],[von_Datum]],0)+1,Rohdaten[[#This Row],[bis_Datum]],"1111011",Feiertage[[Datum ]]),0)</f>
        <v>0</v>
      </c>
    </row>
    <row r="56" spans="1:23" x14ac:dyDescent="0.3">
      <c r="A56" s="44" t="s">
        <v>69</v>
      </c>
      <c r="B56" s="52" t="str">
        <f>VLOOKUP(A56,DIM_Mitarbeiter!A:D,4,FALSE)</f>
        <v>VERKAUF</v>
      </c>
      <c r="C56" s="53">
        <v>44921</v>
      </c>
      <c r="D56" s="53">
        <v>44929</v>
      </c>
      <c r="E56" s="52" t="s">
        <v>82</v>
      </c>
      <c r="F56" s="1">
        <f>+NETWORKDAYS.INTL(C56,D56,1,Feiertage[[Datum ]])</f>
        <v>6</v>
      </c>
      <c r="G56" s="1">
        <f>+NETWORKDAYS.INTL(C56,IF(Rohdaten[[#This Row],[bis_Datum]]&gt;=EOMONTH(Rohdaten[[#This Row],[von_Datum]],0),EOMONTH(Rohdaten[[#This Row],[von_Datum]],0),Rohdaten[[#This Row],[bis_Datum]]),1,Feiertage[[Datum ]])</f>
        <v>4</v>
      </c>
      <c r="H56" s="1">
        <f>+IF(Rohdaten[[#This Row],[Gesamtabwesenheit]]=Rohdaten[[#This Row],[aktueller Monat]],0,NETWORKDAYS.INTL(EOMONTH(Rohdaten[[#This Row],[von_Datum]],0)+1,Rohdaten[[#This Row],[bis_Datum]],1,Feiertage[[Datum ]]))</f>
        <v>2</v>
      </c>
      <c r="I56" s="8">
        <f>EOMONTH(Rohdaten[[#This Row],[von_Datum]],-1)+1</f>
        <v>44896</v>
      </c>
      <c r="J56">
        <f>+IF(Rohdaten[[#This Row],[Gesamtabwesenheit]]&gt;Rohdaten[[#This Row],[aktueller Monat]],NETWORKDAYS.INTL(Rohdaten[[#This Row],[von_Datum]],EOMONTH(Rohdaten[[#This Row],[von_Datum]],0),"0111111",Feiertage[[Datum ]]),NETWORKDAYS.INTL(Rohdaten[[#This Row],[von_Datum]],Rohdaten[[#This Row],[bis_Datum]],"0111111",Feiertage[[Datum ]]))</f>
        <v>0</v>
      </c>
      <c r="K56">
        <f>+IF(Rohdaten[[#This Row],[Gesamtabwesenheit]]&gt;Rohdaten[[#This Row],[aktueller Monat]],NETWORKDAYS.INTL(Rohdaten[[#This Row],[von_Datum]],EOMONTH(Rohdaten[[#This Row],[von_Datum]],0),"1011111",Feiertage[[Datum ]]),NETWORKDAYS.INTL(Rohdaten[[#This Row],[von_Datum]],Rohdaten[[#This Row],[bis_Datum]],"1011111",Feiertage[[Datum ]]))</f>
        <v>1</v>
      </c>
      <c r="L56">
        <f>+IF(Rohdaten[[#This Row],[Gesamtabwesenheit]]&gt;Rohdaten[[#This Row],[aktueller Monat]],NETWORKDAYS.INTL(Rohdaten[[#This Row],[von_Datum]],EOMONTH(Rohdaten[[#This Row],[von_Datum]],0),"1101111",Feiertage[[Datum ]]),NETWORKDAYS.INTL(Rohdaten[[#This Row],[von_Datum]],Rohdaten[[#This Row],[bis_Datum]],"1101111",Feiertage[[Datum ]]))</f>
        <v>1</v>
      </c>
      <c r="M56">
        <f>+IF(Rohdaten[[#This Row],[Gesamtabwesenheit]]&gt;Rohdaten[[#This Row],[aktueller Monat]],NETWORKDAYS.INTL(Rohdaten[[#This Row],[von_Datum]],EOMONTH(Rohdaten[[#This Row],[von_Datum]],0),"1110111",Feiertage[[Datum ]]),NETWORKDAYS.INTL(Rohdaten[[#This Row],[von_Datum]],Rohdaten[[#This Row],[bis_Datum]],"1110111",Feiertage[[Datum ]]))</f>
        <v>1</v>
      </c>
      <c r="N56">
        <f>+IF(Rohdaten[[#This Row],[Gesamtabwesenheit]]&gt;Rohdaten[[#This Row],[aktueller Monat]],NETWORKDAYS.INTL(Rohdaten[[#This Row],[von_Datum]],EOMONTH(Rohdaten[[#This Row],[von_Datum]],0),"1111011",Feiertage[[Datum ]]),NETWORKDAYS.INTL(Rohdaten[[#This Row],[von_Datum]],Rohdaten[[#This Row],[bis_Datum]],"1111011",Feiertage[[Datum ]]))</f>
        <v>1</v>
      </c>
      <c r="O56" s="8">
        <f>EOMONTH(Rohdaten[[#This Row],[bis_Datum]],-1)+1</f>
        <v>44927</v>
      </c>
      <c r="P56">
        <f>+IF(Rohdaten[[#This Row],[Gesamtabwesenheit]]&gt;Rohdaten[[#This Row],[aktueller Monat]],NETWORKDAYS.INTL(EOMONTH(Rohdaten[[#This Row],[von_Datum]],0)+1,Rohdaten[[#This Row],[bis_Datum]],"0111111",Feiertage[[Datum ]]),0)</f>
        <v>1</v>
      </c>
      <c r="Q56">
        <f>+IF(Rohdaten[[#This Row],[Gesamtabwesenheit]]&gt;Rohdaten[[#This Row],[aktueller Monat]],NETWORKDAYS.INTL(EOMONTH(Rohdaten[[#This Row],[von_Datum]],0)+1,Rohdaten[[#This Row],[bis_Datum]],"1011111",Feiertage[[Datum ]]),0)</f>
        <v>1</v>
      </c>
      <c r="R56">
        <f>+IF(Rohdaten[[#This Row],[Gesamtabwesenheit]]&gt;Rohdaten[[#This Row],[aktueller Monat]],NETWORKDAYS.INTL(EOMONTH(Rohdaten[[#This Row],[von_Datum]],0)+1,Rohdaten[[#This Row],[bis_Datum]],"1101111",Feiertage[[Datum ]]),0)</f>
        <v>0</v>
      </c>
      <c r="S56">
        <f>+IF(Rohdaten[[#This Row],[Gesamtabwesenheit]]&gt;Rohdaten[[#This Row],[aktueller Monat]],NETWORKDAYS.INTL(EOMONTH(Rohdaten[[#This Row],[von_Datum]],0)+1,Rohdaten[[#This Row],[bis_Datum]],"1110111",Feiertage[[Datum ]]),0)</f>
        <v>0</v>
      </c>
      <c r="T56">
        <f>+IF(Rohdaten[[#This Row],[Gesamtabwesenheit]]&gt;Rohdaten[[#This Row],[aktueller Monat]],NETWORKDAYS.INTL(EOMONTH(Rohdaten[[#This Row],[von_Datum]],0)+1,Rohdaten[[#This Row],[bis_Datum]],"1111011",Feiertage[[Datum ]]),0)</f>
        <v>0</v>
      </c>
    </row>
    <row r="57" spans="1:23" x14ac:dyDescent="0.3">
      <c r="A57" s="41" t="s">
        <v>104</v>
      </c>
      <c r="B57" s="1"/>
      <c r="C57" s="1"/>
      <c r="D57" s="1"/>
      <c r="E57" s="1"/>
      <c r="F57" s="60">
        <f>SUBTOTAL(109,Rohdaten[Gesamtabwesenheit])</f>
        <v>234</v>
      </c>
      <c r="G57" s="1"/>
      <c r="H57" s="1"/>
      <c r="I57" s="59"/>
      <c r="J57" s="59"/>
      <c r="K57" s="59"/>
      <c r="L57" s="59"/>
      <c r="M57" s="59"/>
      <c r="N57" s="59"/>
      <c r="O57" s="59"/>
      <c r="P57" s="59"/>
      <c r="Q57" s="59"/>
      <c r="R57" s="59"/>
      <c r="S57" s="59"/>
      <c r="T57" s="59">
        <f>SUBTOTAL(109,Rohdaten[2.Freitag])</f>
        <v>6</v>
      </c>
    </row>
    <row r="59" spans="1:23" x14ac:dyDescent="0.3">
      <c r="C59" s="114" t="s">
        <v>279</v>
      </c>
      <c r="D59" s="114"/>
    </row>
    <row r="60" spans="1:23" x14ac:dyDescent="0.3">
      <c r="C60" s="114"/>
      <c r="D60" s="114"/>
    </row>
  </sheetData>
  <mergeCells count="1">
    <mergeCell ref="C59:D60"/>
  </mergeCells>
  <phoneticPr fontId="3" type="noConversion"/>
  <pageMargins left="0.7" right="0.7" top="0.78740157499999996" bottom="0.78740157499999996" header="0.3" footer="0.3"/>
  <pageSetup paperSize="9" orientation="portrait" horizontalDpi="1200" verticalDpi="1200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33CFE-D405-4C5D-ACAB-5A4BF6AEAFD3}">
  <sheetPr codeName="Tabelle8" filterMode="1">
    <tabColor rgb="FF7030A0"/>
  </sheetPr>
  <dimension ref="A1:D366"/>
  <sheetViews>
    <sheetView workbookViewId="0">
      <selection activeCell="K201" sqref="K201"/>
    </sheetView>
  </sheetViews>
  <sheetFormatPr baseColWidth="10" defaultColWidth="11.44140625" defaultRowHeight="14.4" x14ac:dyDescent="0.3"/>
  <cols>
    <col min="2" max="2" width="15.6640625" customWidth="1"/>
    <col min="4" max="4" width="18.33203125" bestFit="1" customWidth="1"/>
  </cols>
  <sheetData>
    <row r="1" spans="1:4" x14ac:dyDescent="0.3">
      <c r="A1" s="7" t="s">
        <v>105</v>
      </c>
      <c r="B1" s="30" t="s">
        <v>32</v>
      </c>
      <c r="C1" s="30" t="s">
        <v>106</v>
      </c>
      <c r="D1" s="30" t="s">
        <v>2</v>
      </c>
    </row>
    <row r="2" spans="1:4" hidden="1" x14ac:dyDescent="0.3">
      <c r="A2" s="3">
        <v>44743</v>
      </c>
      <c r="B2">
        <f t="shared" ref="B2:B13" si="0">+WEEKDAY(A2,2)</f>
        <v>5</v>
      </c>
      <c r="C2" s="3" t="b">
        <f>+WORKDAY.INTL(A2-1,1,1,Feiertage[[Datum ]])=A2</f>
        <v>1</v>
      </c>
      <c r="D2" t="str">
        <f t="shared" ref="D2:D13" si="1">+TEXT(A2,"TTTT")</f>
        <v>Freitag</v>
      </c>
    </row>
    <row r="3" spans="1:4" hidden="1" x14ac:dyDescent="0.3">
      <c r="A3" s="3">
        <v>44744</v>
      </c>
      <c r="B3">
        <f t="shared" si="0"/>
        <v>6</v>
      </c>
      <c r="C3" s="3" t="b">
        <f>+WORKDAY.INTL(A3-1,1,1,Feiertage[[Datum ]])=A3</f>
        <v>0</v>
      </c>
      <c r="D3" t="str">
        <f t="shared" si="1"/>
        <v>Samstag</v>
      </c>
    </row>
    <row r="4" spans="1:4" hidden="1" x14ac:dyDescent="0.3">
      <c r="A4" s="3">
        <v>44745</v>
      </c>
      <c r="B4">
        <f t="shared" si="0"/>
        <v>7</v>
      </c>
      <c r="C4" s="3" t="b">
        <f>+WORKDAY.INTL(A4-1,1,1,Feiertage[[Datum ]])=A4</f>
        <v>0</v>
      </c>
      <c r="D4" t="str">
        <f t="shared" si="1"/>
        <v>Sonntag</v>
      </c>
    </row>
    <row r="5" spans="1:4" hidden="1" x14ac:dyDescent="0.3">
      <c r="A5" s="3">
        <v>44746</v>
      </c>
      <c r="B5">
        <f t="shared" si="0"/>
        <v>1</v>
      </c>
      <c r="C5" s="3" t="b">
        <f>+WORKDAY.INTL(A5-1,1,1,Feiertage[[Datum ]])=A5</f>
        <v>1</v>
      </c>
      <c r="D5" t="str">
        <f t="shared" si="1"/>
        <v>Montag</v>
      </c>
    </row>
    <row r="6" spans="1:4" hidden="1" x14ac:dyDescent="0.3">
      <c r="A6" s="3">
        <v>44747</v>
      </c>
      <c r="B6">
        <f t="shared" si="0"/>
        <v>2</v>
      </c>
      <c r="C6" s="3" t="b">
        <f>+WORKDAY.INTL(A6-1,1,1,Feiertage[[Datum ]])=A6</f>
        <v>1</v>
      </c>
      <c r="D6" t="str">
        <f t="shared" si="1"/>
        <v>Dienstag</v>
      </c>
    </row>
    <row r="7" spans="1:4" hidden="1" x14ac:dyDescent="0.3">
      <c r="A7" s="3">
        <v>44748</v>
      </c>
      <c r="B7">
        <f t="shared" si="0"/>
        <v>3</v>
      </c>
      <c r="C7" s="3" t="b">
        <f>+WORKDAY.INTL(A7-1,1,1,Feiertage[[Datum ]])=A7</f>
        <v>1</v>
      </c>
      <c r="D7" t="str">
        <f t="shared" si="1"/>
        <v>Mittwoch</v>
      </c>
    </row>
    <row r="8" spans="1:4" hidden="1" x14ac:dyDescent="0.3">
      <c r="A8" s="3">
        <v>44749</v>
      </c>
      <c r="B8">
        <f t="shared" si="0"/>
        <v>4</v>
      </c>
      <c r="C8" s="3" t="b">
        <f>+WORKDAY.INTL(A8-1,1,1,Feiertage[[Datum ]])=A8</f>
        <v>1</v>
      </c>
      <c r="D8" t="str">
        <f t="shared" si="1"/>
        <v>Donnerstag</v>
      </c>
    </row>
    <row r="9" spans="1:4" hidden="1" x14ac:dyDescent="0.3">
      <c r="A9" s="3">
        <v>44750</v>
      </c>
      <c r="B9">
        <f t="shared" si="0"/>
        <v>5</v>
      </c>
      <c r="C9" s="3" t="b">
        <f>+WORKDAY.INTL(A9-1,1,1,Feiertage[[Datum ]])=A9</f>
        <v>1</v>
      </c>
      <c r="D9" t="str">
        <f t="shared" si="1"/>
        <v>Freitag</v>
      </c>
    </row>
    <row r="10" spans="1:4" hidden="1" x14ac:dyDescent="0.3">
      <c r="A10" s="3">
        <v>44751</v>
      </c>
      <c r="B10">
        <f t="shared" si="0"/>
        <v>6</v>
      </c>
      <c r="C10" s="3" t="b">
        <f>+WORKDAY.INTL(A10-1,1,1,Feiertage[[Datum ]])=A10</f>
        <v>0</v>
      </c>
      <c r="D10" t="str">
        <f t="shared" si="1"/>
        <v>Samstag</v>
      </c>
    </row>
    <row r="11" spans="1:4" hidden="1" x14ac:dyDescent="0.3">
      <c r="A11" s="3">
        <v>44752</v>
      </c>
      <c r="B11">
        <f t="shared" si="0"/>
        <v>7</v>
      </c>
      <c r="C11" s="3" t="b">
        <f>+WORKDAY.INTL(A11-1,1,1,Feiertage[[Datum ]])=A11</f>
        <v>0</v>
      </c>
      <c r="D11" t="str">
        <f t="shared" si="1"/>
        <v>Sonntag</v>
      </c>
    </row>
    <row r="12" spans="1:4" hidden="1" x14ac:dyDescent="0.3">
      <c r="A12" s="3">
        <v>44753</v>
      </c>
      <c r="B12">
        <f t="shared" si="0"/>
        <v>1</v>
      </c>
      <c r="C12" s="3" t="b">
        <f>+WORKDAY.INTL(A12-1,1,1,Feiertage[[Datum ]])=A12</f>
        <v>1</v>
      </c>
      <c r="D12" t="str">
        <f t="shared" si="1"/>
        <v>Montag</v>
      </c>
    </row>
    <row r="13" spans="1:4" hidden="1" x14ac:dyDescent="0.3">
      <c r="A13" s="3">
        <v>44754</v>
      </c>
      <c r="B13">
        <f t="shared" si="0"/>
        <v>2</v>
      </c>
      <c r="C13" s="3" t="b">
        <f>+WORKDAY.INTL(A13-1,1,1,Feiertage[[Datum ]])=A13</f>
        <v>1</v>
      </c>
      <c r="D13" t="str">
        <f t="shared" si="1"/>
        <v>Dienstag</v>
      </c>
    </row>
    <row r="14" spans="1:4" hidden="1" x14ac:dyDescent="0.3">
      <c r="A14" s="3">
        <v>44755</v>
      </c>
      <c r="B14">
        <f t="shared" ref="B14:B77" si="2">+WEEKDAY(A14,2)</f>
        <v>3</v>
      </c>
      <c r="C14" s="3" t="b">
        <f>+WORKDAY.INTL(A14-1,1,1,Feiertage[[Datum ]])=A14</f>
        <v>1</v>
      </c>
      <c r="D14" t="str">
        <f t="shared" ref="D14:D77" si="3">+TEXT(A14,"TTTT")</f>
        <v>Mittwoch</v>
      </c>
    </row>
    <row r="15" spans="1:4" hidden="1" x14ac:dyDescent="0.3">
      <c r="A15" s="3">
        <v>44756</v>
      </c>
      <c r="B15">
        <f t="shared" si="2"/>
        <v>4</v>
      </c>
      <c r="C15" s="3" t="b">
        <f>+WORKDAY.INTL(A15-1,1,1,Feiertage[[Datum ]])=A15</f>
        <v>1</v>
      </c>
      <c r="D15" t="str">
        <f t="shared" si="3"/>
        <v>Donnerstag</v>
      </c>
    </row>
    <row r="16" spans="1:4" hidden="1" x14ac:dyDescent="0.3">
      <c r="A16" s="3">
        <v>44757</v>
      </c>
      <c r="B16">
        <f t="shared" si="2"/>
        <v>5</v>
      </c>
      <c r="C16" s="3" t="b">
        <f>+WORKDAY.INTL(A16-1,1,1,Feiertage[[Datum ]])=A16</f>
        <v>1</v>
      </c>
      <c r="D16" t="str">
        <f t="shared" si="3"/>
        <v>Freitag</v>
      </c>
    </row>
    <row r="17" spans="1:4" hidden="1" x14ac:dyDescent="0.3">
      <c r="A17" s="3">
        <v>44758</v>
      </c>
      <c r="B17">
        <f t="shared" si="2"/>
        <v>6</v>
      </c>
      <c r="C17" s="3" t="b">
        <f>+WORKDAY.INTL(A17-1,1,1,Feiertage[[Datum ]])=A17</f>
        <v>0</v>
      </c>
      <c r="D17" t="str">
        <f t="shared" si="3"/>
        <v>Samstag</v>
      </c>
    </row>
    <row r="18" spans="1:4" hidden="1" x14ac:dyDescent="0.3">
      <c r="A18" s="3">
        <v>44759</v>
      </c>
      <c r="B18">
        <f t="shared" si="2"/>
        <v>7</v>
      </c>
      <c r="C18" s="3" t="b">
        <f>+WORKDAY.INTL(A18-1,1,1,Feiertage[[Datum ]])=A18</f>
        <v>0</v>
      </c>
      <c r="D18" t="str">
        <f t="shared" si="3"/>
        <v>Sonntag</v>
      </c>
    </row>
    <row r="19" spans="1:4" hidden="1" x14ac:dyDescent="0.3">
      <c r="A19" s="3">
        <v>44760</v>
      </c>
      <c r="B19">
        <f t="shared" si="2"/>
        <v>1</v>
      </c>
      <c r="C19" s="3" t="b">
        <f>+WORKDAY.INTL(A19-1,1,1,Feiertage[[Datum ]])=A19</f>
        <v>1</v>
      </c>
      <c r="D19" t="str">
        <f t="shared" si="3"/>
        <v>Montag</v>
      </c>
    </row>
    <row r="20" spans="1:4" hidden="1" x14ac:dyDescent="0.3">
      <c r="A20" s="3">
        <v>44761</v>
      </c>
      <c r="B20">
        <f t="shared" si="2"/>
        <v>2</v>
      </c>
      <c r="C20" s="3" t="b">
        <f>+WORKDAY.INTL(A20-1,1,1,Feiertage[[Datum ]])=A20</f>
        <v>1</v>
      </c>
      <c r="D20" t="str">
        <f t="shared" si="3"/>
        <v>Dienstag</v>
      </c>
    </row>
    <row r="21" spans="1:4" hidden="1" x14ac:dyDescent="0.3">
      <c r="A21" s="3">
        <v>44762</v>
      </c>
      <c r="B21">
        <f t="shared" si="2"/>
        <v>3</v>
      </c>
      <c r="C21" s="3" t="b">
        <f>+WORKDAY.INTL(A21-1,1,1,Feiertage[[Datum ]])=A21</f>
        <v>1</v>
      </c>
      <c r="D21" t="str">
        <f t="shared" si="3"/>
        <v>Mittwoch</v>
      </c>
    </row>
    <row r="22" spans="1:4" hidden="1" x14ac:dyDescent="0.3">
      <c r="A22" s="3">
        <v>44763</v>
      </c>
      <c r="B22">
        <f t="shared" si="2"/>
        <v>4</v>
      </c>
      <c r="C22" s="3" t="b">
        <f>+WORKDAY.INTL(A22-1,1,1,Feiertage[[Datum ]])=A22</f>
        <v>1</v>
      </c>
      <c r="D22" t="str">
        <f t="shared" si="3"/>
        <v>Donnerstag</v>
      </c>
    </row>
    <row r="23" spans="1:4" hidden="1" x14ac:dyDescent="0.3">
      <c r="A23" s="3">
        <v>44764</v>
      </c>
      <c r="B23">
        <f t="shared" si="2"/>
        <v>5</v>
      </c>
      <c r="C23" s="3" t="b">
        <f>+WORKDAY.INTL(A23-1,1,1,Feiertage[[Datum ]])=A23</f>
        <v>1</v>
      </c>
      <c r="D23" t="str">
        <f t="shared" si="3"/>
        <v>Freitag</v>
      </c>
    </row>
    <row r="24" spans="1:4" hidden="1" x14ac:dyDescent="0.3">
      <c r="A24" s="3">
        <v>44765</v>
      </c>
      <c r="B24">
        <f t="shared" si="2"/>
        <v>6</v>
      </c>
      <c r="C24" s="3" t="b">
        <f>+WORKDAY.INTL(A24-1,1,1,Feiertage[[Datum ]])=A24</f>
        <v>0</v>
      </c>
      <c r="D24" t="str">
        <f t="shared" si="3"/>
        <v>Samstag</v>
      </c>
    </row>
    <row r="25" spans="1:4" hidden="1" x14ac:dyDescent="0.3">
      <c r="A25" s="3">
        <v>44766</v>
      </c>
      <c r="B25">
        <f t="shared" si="2"/>
        <v>7</v>
      </c>
      <c r="C25" s="3" t="b">
        <f>+WORKDAY.INTL(A25-1,1,1,Feiertage[[Datum ]])=A25</f>
        <v>0</v>
      </c>
      <c r="D25" t="str">
        <f t="shared" si="3"/>
        <v>Sonntag</v>
      </c>
    </row>
    <row r="26" spans="1:4" hidden="1" x14ac:dyDescent="0.3">
      <c r="A26" s="3">
        <v>44767</v>
      </c>
      <c r="B26">
        <f t="shared" si="2"/>
        <v>1</v>
      </c>
      <c r="C26" s="3" t="b">
        <f>+WORKDAY.INTL(A26-1,1,1,Feiertage[[Datum ]])=A26</f>
        <v>1</v>
      </c>
      <c r="D26" t="str">
        <f t="shared" si="3"/>
        <v>Montag</v>
      </c>
    </row>
    <row r="27" spans="1:4" hidden="1" x14ac:dyDescent="0.3">
      <c r="A27" s="3">
        <v>44768</v>
      </c>
      <c r="B27">
        <f t="shared" si="2"/>
        <v>2</v>
      </c>
      <c r="C27" s="3" t="b">
        <f>+WORKDAY.INTL(A27-1,1,1,Feiertage[[Datum ]])=A27</f>
        <v>1</v>
      </c>
      <c r="D27" t="str">
        <f t="shared" si="3"/>
        <v>Dienstag</v>
      </c>
    </row>
    <row r="28" spans="1:4" hidden="1" x14ac:dyDescent="0.3">
      <c r="A28" s="3">
        <v>44769</v>
      </c>
      <c r="B28">
        <f t="shared" si="2"/>
        <v>3</v>
      </c>
      <c r="C28" s="3" t="b">
        <f>+WORKDAY.INTL(A28-1,1,1,Feiertage[[Datum ]])=A28</f>
        <v>1</v>
      </c>
      <c r="D28" t="str">
        <f t="shared" si="3"/>
        <v>Mittwoch</v>
      </c>
    </row>
    <row r="29" spans="1:4" hidden="1" x14ac:dyDescent="0.3">
      <c r="A29" s="3">
        <v>44770</v>
      </c>
      <c r="B29">
        <f t="shared" si="2"/>
        <v>4</v>
      </c>
      <c r="C29" s="3" t="b">
        <f>+WORKDAY.INTL(A29-1,1,1,Feiertage[[Datum ]])=A29</f>
        <v>1</v>
      </c>
      <c r="D29" t="str">
        <f t="shared" si="3"/>
        <v>Donnerstag</v>
      </c>
    </row>
    <row r="30" spans="1:4" hidden="1" x14ac:dyDescent="0.3">
      <c r="A30" s="3">
        <v>44771</v>
      </c>
      <c r="B30">
        <f t="shared" si="2"/>
        <v>5</v>
      </c>
      <c r="C30" s="3" t="b">
        <f>+WORKDAY.INTL(A30-1,1,1,Feiertage[[Datum ]])=A30</f>
        <v>1</v>
      </c>
      <c r="D30" t="str">
        <f t="shared" si="3"/>
        <v>Freitag</v>
      </c>
    </row>
    <row r="31" spans="1:4" hidden="1" x14ac:dyDescent="0.3">
      <c r="A31" s="3">
        <v>44772</v>
      </c>
      <c r="B31">
        <f t="shared" si="2"/>
        <v>6</v>
      </c>
      <c r="C31" s="3" t="b">
        <f>+WORKDAY.INTL(A31-1,1,1,Feiertage[[Datum ]])=A31</f>
        <v>0</v>
      </c>
      <c r="D31" t="str">
        <f t="shared" si="3"/>
        <v>Samstag</v>
      </c>
    </row>
    <row r="32" spans="1:4" hidden="1" x14ac:dyDescent="0.3">
      <c r="A32" s="3">
        <v>44773</v>
      </c>
      <c r="B32">
        <f t="shared" si="2"/>
        <v>7</v>
      </c>
      <c r="C32" s="3" t="b">
        <f>+WORKDAY.INTL(A32-1,1,1,Feiertage[[Datum ]])=A32</f>
        <v>0</v>
      </c>
      <c r="D32" t="str">
        <f t="shared" si="3"/>
        <v>Sonntag</v>
      </c>
    </row>
    <row r="33" spans="1:4" hidden="1" x14ac:dyDescent="0.3">
      <c r="A33" s="3">
        <v>44774</v>
      </c>
      <c r="B33">
        <f t="shared" si="2"/>
        <v>1</v>
      </c>
      <c r="C33" s="3" t="b">
        <f>+WORKDAY.INTL(A33-1,1,1,Feiertage[[Datum ]])=A33</f>
        <v>1</v>
      </c>
      <c r="D33" t="str">
        <f t="shared" si="3"/>
        <v>Montag</v>
      </c>
    </row>
    <row r="34" spans="1:4" hidden="1" x14ac:dyDescent="0.3">
      <c r="A34" s="3">
        <v>44775</v>
      </c>
      <c r="B34">
        <f t="shared" si="2"/>
        <v>2</v>
      </c>
      <c r="C34" s="3" t="b">
        <f>+WORKDAY.INTL(A34-1,1,1,Feiertage[[Datum ]])=A34</f>
        <v>1</v>
      </c>
      <c r="D34" t="str">
        <f t="shared" si="3"/>
        <v>Dienstag</v>
      </c>
    </row>
    <row r="35" spans="1:4" hidden="1" x14ac:dyDescent="0.3">
      <c r="A35" s="3">
        <v>44776</v>
      </c>
      <c r="B35">
        <f t="shared" si="2"/>
        <v>3</v>
      </c>
      <c r="C35" s="3" t="b">
        <f>+WORKDAY.INTL(A35-1,1,1,Feiertage[[Datum ]])=A35</f>
        <v>1</v>
      </c>
      <c r="D35" t="str">
        <f t="shared" si="3"/>
        <v>Mittwoch</v>
      </c>
    </row>
    <row r="36" spans="1:4" hidden="1" x14ac:dyDescent="0.3">
      <c r="A36" s="3">
        <v>44777</v>
      </c>
      <c r="B36">
        <f t="shared" si="2"/>
        <v>4</v>
      </c>
      <c r="C36" s="3" t="b">
        <f>+WORKDAY.INTL(A36-1,1,1,Feiertage[[Datum ]])=A36</f>
        <v>1</v>
      </c>
      <c r="D36" t="str">
        <f t="shared" si="3"/>
        <v>Donnerstag</v>
      </c>
    </row>
    <row r="37" spans="1:4" hidden="1" x14ac:dyDescent="0.3">
      <c r="A37" s="3">
        <v>44778</v>
      </c>
      <c r="B37">
        <f t="shared" si="2"/>
        <v>5</v>
      </c>
      <c r="C37" s="3" t="b">
        <f>+WORKDAY.INTL(A37-1,1,1,Feiertage[[Datum ]])=A37</f>
        <v>1</v>
      </c>
      <c r="D37" t="str">
        <f t="shared" si="3"/>
        <v>Freitag</v>
      </c>
    </row>
    <row r="38" spans="1:4" hidden="1" x14ac:dyDescent="0.3">
      <c r="A38" s="3">
        <v>44779</v>
      </c>
      <c r="B38">
        <f t="shared" si="2"/>
        <v>6</v>
      </c>
      <c r="C38" s="3" t="b">
        <f>+WORKDAY.INTL(A38-1,1,1,Feiertage[[Datum ]])=A38</f>
        <v>0</v>
      </c>
      <c r="D38" t="str">
        <f t="shared" si="3"/>
        <v>Samstag</v>
      </c>
    </row>
    <row r="39" spans="1:4" hidden="1" x14ac:dyDescent="0.3">
      <c r="A39" s="3">
        <v>44780</v>
      </c>
      <c r="B39">
        <f t="shared" si="2"/>
        <v>7</v>
      </c>
      <c r="C39" s="3" t="b">
        <f>+WORKDAY.INTL(A39-1,1,1,Feiertage[[Datum ]])=A39</f>
        <v>0</v>
      </c>
      <c r="D39" t="str">
        <f t="shared" si="3"/>
        <v>Sonntag</v>
      </c>
    </row>
    <row r="40" spans="1:4" hidden="1" x14ac:dyDescent="0.3">
      <c r="A40" s="3">
        <v>44781</v>
      </c>
      <c r="B40">
        <f t="shared" si="2"/>
        <v>1</v>
      </c>
      <c r="C40" s="3" t="b">
        <f>+WORKDAY.INTL(A40-1,1,1,Feiertage[[Datum ]])=A40</f>
        <v>1</v>
      </c>
      <c r="D40" t="str">
        <f t="shared" si="3"/>
        <v>Montag</v>
      </c>
    </row>
    <row r="41" spans="1:4" hidden="1" x14ac:dyDescent="0.3">
      <c r="A41" s="3">
        <v>44782</v>
      </c>
      <c r="B41">
        <f t="shared" si="2"/>
        <v>2</v>
      </c>
      <c r="C41" s="3" t="b">
        <f>+WORKDAY.INTL(A41-1,1,1,Feiertage[[Datum ]])=A41</f>
        <v>1</v>
      </c>
      <c r="D41" t="str">
        <f t="shared" si="3"/>
        <v>Dienstag</v>
      </c>
    </row>
    <row r="42" spans="1:4" hidden="1" x14ac:dyDescent="0.3">
      <c r="A42" s="3">
        <v>44783</v>
      </c>
      <c r="B42">
        <f t="shared" si="2"/>
        <v>3</v>
      </c>
      <c r="C42" s="3" t="b">
        <f>+WORKDAY.INTL(A42-1,1,1,Feiertage[[Datum ]])=A42</f>
        <v>1</v>
      </c>
      <c r="D42" t="str">
        <f t="shared" si="3"/>
        <v>Mittwoch</v>
      </c>
    </row>
    <row r="43" spans="1:4" hidden="1" x14ac:dyDescent="0.3">
      <c r="A43" s="3">
        <v>44784</v>
      </c>
      <c r="B43">
        <f t="shared" si="2"/>
        <v>4</v>
      </c>
      <c r="C43" s="3" t="b">
        <f>+WORKDAY.INTL(A43-1,1,1,Feiertage[[Datum ]])=A43</f>
        <v>1</v>
      </c>
      <c r="D43" t="str">
        <f t="shared" si="3"/>
        <v>Donnerstag</v>
      </c>
    </row>
    <row r="44" spans="1:4" hidden="1" x14ac:dyDescent="0.3">
      <c r="A44" s="3">
        <v>44785</v>
      </c>
      <c r="B44">
        <f t="shared" si="2"/>
        <v>5</v>
      </c>
      <c r="C44" s="3" t="b">
        <f>+WORKDAY.INTL(A44-1,1,1,Feiertage[[Datum ]])=A44</f>
        <v>1</v>
      </c>
      <c r="D44" t="str">
        <f t="shared" si="3"/>
        <v>Freitag</v>
      </c>
    </row>
    <row r="45" spans="1:4" hidden="1" x14ac:dyDescent="0.3">
      <c r="A45" s="3">
        <v>44786</v>
      </c>
      <c r="B45">
        <f t="shared" si="2"/>
        <v>6</v>
      </c>
      <c r="C45" s="3" t="b">
        <f>+WORKDAY.INTL(A45-1,1,1,Feiertage[[Datum ]])=A45</f>
        <v>0</v>
      </c>
      <c r="D45" t="str">
        <f t="shared" si="3"/>
        <v>Samstag</v>
      </c>
    </row>
    <row r="46" spans="1:4" hidden="1" x14ac:dyDescent="0.3">
      <c r="A46" s="3">
        <v>44787</v>
      </c>
      <c r="B46">
        <f t="shared" si="2"/>
        <v>7</v>
      </c>
      <c r="C46" s="3" t="b">
        <f>+WORKDAY.INTL(A46-1,1,1,Feiertage[[Datum ]])=A46</f>
        <v>0</v>
      </c>
      <c r="D46" t="str">
        <f t="shared" si="3"/>
        <v>Sonntag</v>
      </c>
    </row>
    <row r="47" spans="1:4" hidden="1" x14ac:dyDescent="0.3">
      <c r="A47" s="3">
        <v>44788</v>
      </c>
      <c r="B47">
        <f t="shared" si="2"/>
        <v>1</v>
      </c>
      <c r="C47" s="3" t="b">
        <f>+WORKDAY.INTL(A47-1,1,1,Feiertage[[Datum ]])=A47</f>
        <v>1</v>
      </c>
      <c r="D47" t="str">
        <f t="shared" si="3"/>
        <v>Montag</v>
      </c>
    </row>
    <row r="48" spans="1:4" hidden="1" x14ac:dyDescent="0.3">
      <c r="A48" s="3">
        <v>44789</v>
      </c>
      <c r="B48">
        <f t="shared" si="2"/>
        <v>2</v>
      </c>
      <c r="C48" s="3" t="b">
        <f>+WORKDAY.INTL(A48-1,1,1,Feiertage[[Datum ]])=A48</f>
        <v>1</v>
      </c>
      <c r="D48" t="str">
        <f t="shared" si="3"/>
        <v>Dienstag</v>
      </c>
    </row>
    <row r="49" spans="1:4" hidden="1" x14ac:dyDescent="0.3">
      <c r="A49" s="3">
        <v>44790</v>
      </c>
      <c r="B49">
        <f t="shared" si="2"/>
        <v>3</v>
      </c>
      <c r="C49" s="3" t="b">
        <f>+WORKDAY.INTL(A49-1,1,1,Feiertage[[Datum ]])=A49</f>
        <v>1</v>
      </c>
      <c r="D49" t="str">
        <f t="shared" si="3"/>
        <v>Mittwoch</v>
      </c>
    </row>
    <row r="50" spans="1:4" hidden="1" x14ac:dyDescent="0.3">
      <c r="A50" s="3">
        <v>44791</v>
      </c>
      <c r="B50">
        <f t="shared" si="2"/>
        <v>4</v>
      </c>
      <c r="C50" s="3" t="b">
        <f>+WORKDAY.INTL(A50-1,1,1,Feiertage[[Datum ]])=A50</f>
        <v>1</v>
      </c>
      <c r="D50" t="str">
        <f t="shared" si="3"/>
        <v>Donnerstag</v>
      </c>
    </row>
    <row r="51" spans="1:4" hidden="1" x14ac:dyDescent="0.3">
      <c r="A51" s="3">
        <v>44792</v>
      </c>
      <c r="B51">
        <f t="shared" si="2"/>
        <v>5</v>
      </c>
      <c r="C51" s="3" t="b">
        <f>+WORKDAY.INTL(A51-1,1,1,Feiertage[[Datum ]])=A51</f>
        <v>1</v>
      </c>
      <c r="D51" t="str">
        <f t="shared" si="3"/>
        <v>Freitag</v>
      </c>
    </row>
    <row r="52" spans="1:4" hidden="1" x14ac:dyDescent="0.3">
      <c r="A52" s="3">
        <v>44793</v>
      </c>
      <c r="B52">
        <f t="shared" si="2"/>
        <v>6</v>
      </c>
      <c r="C52" s="3" t="b">
        <f>+WORKDAY.INTL(A52-1,1,1,Feiertage[[Datum ]])=A52</f>
        <v>0</v>
      </c>
      <c r="D52" t="str">
        <f t="shared" si="3"/>
        <v>Samstag</v>
      </c>
    </row>
    <row r="53" spans="1:4" hidden="1" x14ac:dyDescent="0.3">
      <c r="A53" s="3">
        <v>44794</v>
      </c>
      <c r="B53">
        <f t="shared" si="2"/>
        <v>7</v>
      </c>
      <c r="C53" s="3" t="b">
        <f>+WORKDAY.INTL(A53-1,1,1,Feiertage[[Datum ]])=A53</f>
        <v>0</v>
      </c>
      <c r="D53" t="str">
        <f t="shared" si="3"/>
        <v>Sonntag</v>
      </c>
    </row>
    <row r="54" spans="1:4" hidden="1" x14ac:dyDescent="0.3">
      <c r="A54" s="3">
        <v>44795</v>
      </c>
      <c r="B54">
        <f t="shared" si="2"/>
        <v>1</v>
      </c>
      <c r="C54" s="3" t="b">
        <f>+WORKDAY.INTL(A54-1,1,1,Feiertage[[Datum ]])=A54</f>
        <v>1</v>
      </c>
      <c r="D54" t="str">
        <f t="shared" si="3"/>
        <v>Montag</v>
      </c>
    </row>
    <row r="55" spans="1:4" hidden="1" x14ac:dyDescent="0.3">
      <c r="A55" s="3">
        <v>44796</v>
      </c>
      <c r="B55">
        <f t="shared" si="2"/>
        <v>2</v>
      </c>
      <c r="C55" s="3" t="b">
        <f>+WORKDAY.INTL(A55-1,1,1,Feiertage[[Datum ]])=A55</f>
        <v>1</v>
      </c>
      <c r="D55" t="str">
        <f t="shared" si="3"/>
        <v>Dienstag</v>
      </c>
    </row>
    <row r="56" spans="1:4" hidden="1" x14ac:dyDescent="0.3">
      <c r="A56" s="3">
        <v>44797</v>
      </c>
      <c r="B56">
        <f t="shared" si="2"/>
        <v>3</v>
      </c>
      <c r="C56" s="3" t="b">
        <f>+WORKDAY.INTL(A56-1,1,1,Feiertage[[Datum ]])=A56</f>
        <v>1</v>
      </c>
      <c r="D56" t="str">
        <f t="shared" si="3"/>
        <v>Mittwoch</v>
      </c>
    </row>
    <row r="57" spans="1:4" hidden="1" x14ac:dyDescent="0.3">
      <c r="A57" s="3">
        <v>44798</v>
      </c>
      <c r="B57">
        <f t="shared" si="2"/>
        <v>4</v>
      </c>
      <c r="C57" s="3" t="b">
        <f>+WORKDAY.INTL(A57-1,1,1,Feiertage[[Datum ]])=A57</f>
        <v>1</v>
      </c>
      <c r="D57" t="str">
        <f t="shared" si="3"/>
        <v>Donnerstag</v>
      </c>
    </row>
    <row r="58" spans="1:4" hidden="1" x14ac:dyDescent="0.3">
      <c r="A58" s="3">
        <v>44799</v>
      </c>
      <c r="B58">
        <f t="shared" si="2"/>
        <v>5</v>
      </c>
      <c r="C58" s="3" t="b">
        <f>+WORKDAY.INTL(A58-1,1,1,Feiertage[[Datum ]])=A58</f>
        <v>1</v>
      </c>
      <c r="D58" t="str">
        <f t="shared" si="3"/>
        <v>Freitag</v>
      </c>
    </row>
    <row r="59" spans="1:4" hidden="1" x14ac:dyDescent="0.3">
      <c r="A59" s="3">
        <v>44800</v>
      </c>
      <c r="B59">
        <f t="shared" si="2"/>
        <v>6</v>
      </c>
      <c r="C59" s="3" t="b">
        <f>+WORKDAY.INTL(A59-1,1,1,Feiertage[[Datum ]])=A59</f>
        <v>0</v>
      </c>
      <c r="D59" t="str">
        <f t="shared" si="3"/>
        <v>Samstag</v>
      </c>
    </row>
    <row r="60" spans="1:4" hidden="1" x14ac:dyDescent="0.3">
      <c r="A60" s="3">
        <v>44801</v>
      </c>
      <c r="B60">
        <f t="shared" si="2"/>
        <v>7</v>
      </c>
      <c r="C60" s="3" t="b">
        <f>+WORKDAY.INTL(A60-1,1,1,Feiertage[[Datum ]])=A60</f>
        <v>0</v>
      </c>
      <c r="D60" t="str">
        <f t="shared" si="3"/>
        <v>Sonntag</v>
      </c>
    </row>
    <row r="61" spans="1:4" hidden="1" x14ac:dyDescent="0.3">
      <c r="A61" s="3">
        <v>44802</v>
      </c>
      <c r="B61">
        <f t="shared" si="2"/>
        <v>1</v>
      </c>
      <c r="C61" s="3" t="b">
        <f>+WORKDAY.INTL(A61-1,1,1,Feiertage[[Datum ]])=A61</f>
        <v>1</v>
      </c>
      <c r="D61" t="str">
        <f t="shared" si="3"/>
        <v>Montag</v>
      </c>
    </row>
    <row r="62" spans="1:4" hidden="1" x14ac:dyDescent="0.3">
      <c r="A62" s="3">
        <v>44803</v>
      </c>
      <c r="B62">
        <f t="shared" si="2"/>
        <v>2</v>
      </c>
      <c r="C62" s="3" t="b">
        <f>+WORKDAY.INTL(A62-1,1,1,Feiertage[[Datum ]])=A62</f>
        <v>1</v>
      </c>
      <c r="D62" t="str">
        <f t="shared" si="3"/>
        <v>Dienstag</v>
      </c>
    </row>
    <row r="63" spans="1:4" hidden="1" x14ac:dyDescent="0.3">
      <c r="A63" s="3">
        <v>44804</v>
      </c>
      <c r="B63">
        <f t="shared" si="2"/>
        <v>3</v>
      </c>
      <c r="C63" s="3" t="b">
        <f>+WORKDAY.INTL(A63-1,1,1,Feiertage[[Datum ]])=A63</f>
        <v>1</v>
      </c>
      <c r="D63" t="str">
        <f t="shared" si="3"/>
        <v>Mittwoch</v>
      </c>
    </row>
    <row r="64" spans="1:4" hidden="1" x14ac:dyDescent="0.3">
      <c r="A64" s="3">
        <v>44805</v>
      </c>
      <c r="B64">
        <f t="shared" si="2"/>
        <v>4</v>
      </c>
      <c r="C64" s="3" t="b">
        <f>+WORKDAY.INTL(A64-1,1,1,Feiertage[[Datum ]])=A64</f>
        <v>1</v>
      </c>
      <c r="D64" t="str">
        <f t="shared" si="3"/>
        <v>Donnerstag</v>
      </c>
    </row>
    <row r="65" spans="1:4" hidden="1" x14ac:dyDescent="0.3">
      <c r="A65" s="3">
        <v>44806</v>
      </c>
      <c r="B65">
        <f t="shared" si="2"/>
        <v>5</v>
      </c>
      <c r="C65" s="3" t="b">
        <f>+WORKDAY.INTL(A65-1,1,1,Feiertage[[Datum ]])=A65</f>
        <v>1</v>
      </c>
      <c r="D65" t="str">
        <f t="shared" si="3"/>
        <v>Freitag</v>
      </c>
    </row>
    <row r="66" spans="1:4" hidden="1" x14ac:dyDescent="0.3">
      <c r="A66" s="3">
        <v>44807</v>
      </c>
      <c r="B66">
        <f t="shared" si="2"/>
        <v>6</v>
      </c>
      <c r="C66" s="3" t="b">
        <f>+WORKDAY.INTL(A66-1,1,1,Feiertage[[Datum ]])=A66</f>
        <v>0</v>
      </c>
      <c r="D66" t="str">
        <f t="shared" si="3"/>
        <v>Samstag</v>
      </c>
    </row>
    <row r="67" spans="1:4" hidden="1" x14ac:dyDescent="0.3">
      <c r="A67" s="3">
        <v>44808</v>
      </c>
      <c r="B67">
        <f t="shared" si="2"/>
        <v>7</v>
      </c>
      <c r="C67" s="3" t="b">
        <f>+WORKDAY.INTL(A67-1,1,1,Feiertage[[Datum ]])=A67</f>
        <v>0</v>
      </c>
      <c r="D67" t="str">
        <f t="shared" si="3"/>
        <v>Sonntag</v>
      </c>
    </row>
    <row r="68" spans="1:4" hidden="1" x14ac:dyDescent="0.3">
      <c r="A68" s="3">
        <v>44809</v>
      </c>
      <c r="B68">
        <f t="shared" si="2"/>
        <v>1</v>
      </c>
      <c r="C68" s="3" t="b">
        <f>+WORKDAY.INTL(A68-1,1,1,Feiertage[[Datum ]])=A68</f>
        <v>1</v>
      </c>
      <c r="D68" t="str">
        <f t="shared" si="3"/>
        <v>Montag</v>
      </c>
    </row>
    <row r="69" spans="1:4" hidden="1" x14ac:dyDescent="0.3">
      <c r="A69" s="3">
        <v>44810</v>
      </c>
      <c r="B69">
        <f t="shared" si="2"/>
        <v>2</v>
      </c>
      <c r="C69" s="3" t="b">
        <f>+WORKDAY.INTL(A69-1,1,1,Feiertage[[Datum ]])=A69</f>
        <v>1</v>
      </c>
      <c r="D69" t="str">
        <f t="shared" si="3"/>
        <v>Dienstag</v>
      </c>
    </row>
    <row r="70" spans="1:4" hidden="1" x14ac:dyDescent="0.3">
      <c r="A70" s="3">
        <v>44811</v>
      </c>
      <c r="B70">
        <f t="shared" si="2"/>
        <v>3</v>
      </c>
      <c r="C70" s="3" t="b">
        <f>+WORKDAY.INTL(A70-1,1,1,Feiertage[[Datum ]])=A70</f>
        <v>1</v>
      </c>
      <c r="D70" t="str">
        <f t="shared" si="3"/>
        <v>Mittwoch</v>
      </c>
    </row>
    <row r="71" spans="1:4" hidden="1" x14ac:dyDescent="0.3">
      <c r="A71" s="3">
        <v>44812</v>
      </c>
      <c r="B71">
        <f t="shared" si="2"/>
        <v>4</v>
      </c>
      <c r="C71" s="3" t="b">
        <f>+WORKDAY.INTL(A71-1,1,1,Feiertage[[Datum ]])=A71</f>
        <v>1</v>
      </c>
      <c r="D71" t="str">
        <f t="shared" si="3"/>
        <v>Donnerstag</v>
      </c>
    </row>
    <row r="72" spans="1:4" hidden="1" x14ac:dyDescent="0.3">
      <c r="A72" s="3">
        <v>44813</v>
      </c>
      <c r="B72">
        <f t="shared" si="2"/>
        <v>5</v>
      </c>
      <c r="C72" s="3" t="b">
        <f>+WORKDAY.INTL(A72-1,1,1,Feiertage[[Datum ]])=A72</f>
        <v>1</v>
      </c>
      <c r="D72" t="str">
        <f t="shared" si="3"/>
        <v>Freitag</v>
      </c>
    </row>
    <row r="73" spans="1:4" hidden="1" x14ac:dyDescent="0.3">
      <c r="A73" s="3">
        <v>44814</v>
      </c>
      <c r="B73">
        <f t="shared" si="2"/>
        <v>6</v>
      </c>
      <c r="C73" s="3" t="b">
        <f>+WORKDAY.INTL(A73-1,1,1,Feiertage[[Datum ]])=A73</f>
        <v>0</v>
      </c>
      <c r="D73" t="str">
        <f t="shared" si="3"/>
        <v>Samstag</v>
      </c>
    </row>
    <row r="74" spans="1:4" hidden="1" x14ac:dyDescent="0.3">
      <c r="A74" s="3">
        <v>44815</v>
      </c>
      <c r="B74">
        <f t="shared" si="2"/>
        <v>7</v>
      </c>
      <c r="C74" s="3" t="b">
        <f>+WORKDAY.INTL(A74-1,1,1,Feiertage[[Datum ]])=A74</f>
        <v>0</v>
      </c>
      <c r="D74" t="str">
        <f t="shared" si="3"/>
        <v>Sonntag</v>
      </c>
    </row>
    <row r="75" spans="1:4" hidden="1" x14ac:dyDescent="0.3">
      <c r="A75" s="3">
        <v>44816</v>
      </c>
      <c r="B75">
        <f t="shared" si="2"/>
        <v>1</v>
      </c>
      <c r="C75" s="3" t="b">
        <f>+WORKDAY.INTL(A75-1,1,1,Feiertage[[Datum ]])=A75</f>
        <v>1</v>
      </c>
      <c r="D75" t="str">
        <f t="shared" si="3"/>
        <v>Montag</v>
      </c>
    </row>
    <row r="76" spans="1:4" hidden="1" x14ac:dyDescent="0.3">
      <c r="A76" s="3">
        <v>44817</v>
      </c>
      <c r="B76">
        <f t="shared" si="2"/>
        <v>2</v>
      </c>
      <c r="C76" s="3" t="b">
        <f>+WORKDAY.INTL(A76-1,1,1,Feiertage[[Datum ]])=A76</f>
        <v>1</v>
      </c>
      <c r="D76" t="str">
        <f t="shared" si="3"/>
        <v>Dienstag</v>
      </c>
    </row>
    <row r="77" spans="1:4" hidden="1" x14ac:dyDescent="0.3">
      <c r="A77" s="3">
        <v>44818</v>
      </c>
      <c r="B77">
        <f t="shared" si="2"/>
        <v>3</v>
      </c>
      <c r="C77" s="3" t="b">
        <f>+WORKDAY.INTL(A77-1,1,1,Feiertage[[Datum ]])=A77</f>
        <v>1</v>
      </c>
      <c r="D77" t="str">
        <f t="shared" si="3"/>
        <v>Mittwoch</v>
      </c>
    </row>
    <row r="78" spans="1:4" hidden="1" x14ac:dyDescent="0.3">
      <c r="A78" s="3">
        <v>44819</v>
      </c>
      <c r="B78">
        <f t="shared" ref="B78:B141" si="4">+WEEKDAY(A78,2)</f>
        <v>4</v>
      </c>
      <c r="C78" s="3" t="b">
        <f>+WORKDAY.INTL(A78-1,1,1,Feiertage[[Datum ]])=A78</f>
        <v>1</v>
      </c>
      <c r="D78" t="str">
        <f t="shared" ref="D78:D124" si="5">+TEXT(A78,"TTTT")</f>
        <v>Donnerstag</v>
      </c>
    </row>
    <row r="79" spans="1:4" hidden="1" x14ac:dyDescent="0.3">
      <c r="A79" s="3">
        <v>44820</v>
      </c>
      <c r="B79">
        <f t="shared" si="4"/>
        <v>5</v>
      </c>
      <c r="C79" s="3" t="b">
        <f>+WORKDAY.INTL(A79-1,1,1,Feiertage[[Datum ]])=A79</f>
        <v>1</v>
      </c>
      <c r="D79" t="str">
        <f t="shared" si="5"/>
        <v>Freitag</v>
      </c>
    </row>
    <row r="80" spans="1:4" hidden="1" x14ac:dyDescent="0.3">
      <c r="A80" s="3">
        <v>44821</v>
      </c>
      <c r="B80">
        <f t="shared" si="4"/>
        <v>6</v>
      </c>
      <c r="C80" s="3" t="b">
        <f>+WORKDAY.INTL(A80-1,1,1,Feiertage[[Datum ]])=A80</f>
        <v>0</v>
      </c>
      <c r="D80" t="str">
        <f t="shared" si="5"/>
        <v>Samstag</v>
      </c>
    </row>
    <row r="81" spans="1:4" hidden="1" x14ac:dyDescent="0.3">
      <c r="A81" s="3">
        <v>44822</v>
      </c>
      <c r="B81">
        <f t="shared" si="4"/>
        <v>7</v>
      </c>
      <c r="C81" s="3" t="b">
        <f>+WORKDAY.INTL(A81-1,1,1,Feiertage[[Datum ]])=A81</f>
        <v>0</v>
      </c>
      <c r="D81" t="str">
        <f t="shared" si="5"/>
        <v>Sonntag</v>
      </c>
    </row>
    <row r="82" spans="1:4" hidden="1" x14ac:dyDescent="0.3">
      <c r="A82" s="3">
        <v>44823</v>
      </c>
      <c r="B82">
        <f t="shared" si="4"/>
        <v>1</v>
      </c>
      <c r="C82" s="3" t="b">
        <f>+WORKDAY.INTL(A82-1,1,1,Feiertage[[Datum ]])=A82</f>
        <v>1</v>
      </c>
      <c r="D82" t="str">
        <f t="shared" si="5"/>
        <v>Montag</v>
      </c>
    </row>
    <row r="83" spans="1:4" hidden="1" x14ac:dyDescent="0.3">
      <c r="A83" s="3">
        <v>44824</v>
      </c>
      <c r="B83">
        <f t="shared" si="4"/>
        <v>2</v>
      </c>
      <c r="C83" s="3" t="b">
        <f>+WORKDAY.INTL(A83-1,1,1,Feiertage[[Datum ]])=A83</f>
        <v>1</v>
      </c>
      <c r="D83" t="str">
        <f t="shared" si="5"/>
        <v>Dienstag</v>
      </c>
    </row>
    <row r="84" spans="1:4" hidden="1" x14ac:dyDescent="0.3">
      <c r="A84" s="3">
        <v>44825</v>
      </c>
      <c r="B84">
        <f t="shared" si="4"/>
        <v>3</v>
      </c>
      <c r="C84" s="3" t="b">
        <f>+WORKDAY.INTL(A84-1,1,1,Feiertage[[Datum ]])=A84</f>
        <v>1</v>
      </c>
      <c r="D84" t="str">
        <f t="shared" si="5"/>
        <v>Mittwoch</v>
      </c>
    </row>
    <row r="85" spans="1:4" hidden="1" x14ac:dyDescent="0.3">
      <c r="A85" s="3">
        <v>44826</v>
      </c>
      <c r="B85">
        <f t="shared" si="4"/>
        <v>4</v>
      </c>
      <c r="C85" s="3" t="b">
        <f>+WORKDAY.INTL(A85-1,1,1,Feiertage[[Datum ]])=A85</f>
        <v>1</v>
      </c>
      <c r="D85" t="str">
        <f t="shared" si="5"/>
        <v>Donnerstag</v>
      </c>
    </row>
    <row r="86" spans="1:4" hidden="1" x14ac:dyDescent="0.3">
      <c r="A86" s="3">
        <v>44827</v>
      </c>
      <c r="B86">
        <f t="shared" si="4"/>
        <v>5</v>
      </c>
      <c r="C86" s="3" t="b">
        <f>+WORKDAY.INTL(A86-1,1,1,Feiertage[[Datum ]])=A86</f>
        <v>1</v>
      </c>
      <c r="D86" t="str">
        <f t="shared" si="5"/>
        <v>Freitag</v>
      </c>
    </row>
    <row r="87" spans="1:4" hidden="1" x14ac:dyDescent="0.3">
      <c r="A87" s="3">
        <v>44828</v>
      </c>
      <c r="B87">
        <f t="shared" si="4"/>
        <v>6</v>
      </c>
      <c r="C87" s="3" t="b">
        <f>+WORKDAY.INTL(A87-1,1,1,Feiertage[[Datum ]])=A87</f>
        <v>0</v>
      </c>
      <c r="D87" t="str">
        <f t="shared" si="5"/>
        <v>Samstag</v>
      </c>
    </row>
    <row r="88" spans="1:4" hidden="1" x14ac:dyDescent="0.3">
      <c r="A88" s="3">
        <v>44829</v>
      </c>
      <c r="B88">
        <f t="shared" si="4"/>
        <v>7</v>
      </c>
      <c r="C88" s="3" t="b">
        <f>+WORKDAY.INTL(A88-1,1,1,Feiertage[[Datum ]])=A88</f>
        <v>0</v>
      </c>
      <c r="D88" t="str">
        <f t="shared" si="5"/>
        <v>Sonntag</v>
      </c>
    </row>
    <row r="89" spans="1:4" hidden="1" x14ac:dyDescent="0.3">
      <c r="A89" s="3">
        <v>44830</v>
      </c>
      <c r="B89">
        <f t="shared" si="4"/>
        <v>1</v>
      </c>
      <c r="C89" s="3" t="b">
        <f>+WORKDAY.INTL(A89-1,1,1,Feiertage[[Datum ]])=A89</f>
        <v>1</v>
      </c>
      <c r="D89" t="str">
        <f t="shared" si="5"/>
        <v>Montag</v>
      </c>
    </row>
    <row r="90" spans="1:4" hidden="1" x14ac:dyDescent="0.3">
      <c r="A90" s="3">
        <v>44831</v>
      </c>
      <c r="B90">
        <f t="shared" si="4"/>
        <v>2</v>
      </c>
      <c r="C90" s="3" t="b">
        <f>+WORKDAY.INTL(A90-1,1,1,Feiertage[[Datum ]])=A90</f>
        <v>1</v>
      </c>
      <c r="D90" t="str">
        <f t="shared" si="5"/>
        <v>Dienstag</v>
      </c>
    </row>
    <row r="91" spans="1:4" hidden="1" x14ac:dyDescent="0.3">
      <c r="A91" s="3">
        <v>44832</v>
      </c>
      <c r="B91">
        <f t="shared" si="4"/>
        <v>3</v>
      </c>
      <c r="C91" s="3" t="b">
        <f>+WORKDAY.INTL(A91-1,1,1,Feiertage[[Datum ]])=A91</f>
        <v>1</v>
      </c>
      <c r="D91" t="str">
        <f t="shared" si="5"/>
        <v>Mittwoch</v>
      </c>
    </row>
    <row r="92" spans="1:4" hidden="1" x14ac:dyDescent="0.3">
      <c r="A92" s="3">
        <v>44833</v>
      </c>
      <c r="B92">
        <f t="shared" si="4"/>
        <v>4</v>
      </c>
      <c r="C92" s="3" t="b">
        <f>+WORKDAY.INTL(A92-1,1,1,Feiertage[[Datum ]])=A92</f>
        <v>1</v>
      </c>
      <c r="D92" t="str">
        <f t="shared" si="5"/>
        <v>Donnerstag</v>
      </c>
    </row>
    <row r="93" spans="1:4" hidden="1" x14ac:dyDescent="0.3">
      <c r="A93" s="3">
        <v>44834</v>
      </c>
      <c r="B93">
        <f t="shared" si="4"/>
        <v>5</v>
      </c>
      <c r="C93" s="3" t="b">
        <f>+WORKDAY.INTL(A93-1,1,1,Feiertage[[Datum ]])=A93</f>
        <v>1</v>
      </c>
      <c r="D93" t="str">
        <f t="shared" si="5"/>
        <v>Freitag</v>
      </c>
    </row>
    <row r="94" spans="1:4" hidden="1" x14ac:dyDescent="0.3">
      <c r="A94" s="3">
        <v>44835</v>
      </c>
      <c r="B94">
        <f t="shared" si="4"/>
        <v>6</v>
      </c>
      <c r="C94" s="3" t="b">
        <f>+WORKDAY.INTL(A94-1,1,1,Feiertage[[Datum ]])=A94</f>
        <v>0</v>
      </c>
      <c r="D94" t="str">
        <f t="shared" si="5"/>
        <v>Samstag</v>
      </c>
    </row>
    <row r="95" spans="1:4" hidden="1" x14ac:dyDescent="0.3">
      <c r="A95" s="3">
        <v>44836</v>
      </c>
      <c r="B95">
        <f t="shared" si="4"/>
        <v>7</v>
      </c>
      <c r="C95" s="3" t="b">
        <f>+WORKDAY.INTL(A95-1,1,1,Feiertage[[Datum ]])=A95</f>
        <v>0</v>
      </c>
      <c r="D95" t="str">
        <f t="shared" si="5"/>
        <v>Sonntag</v>
      </c>
    </row>
    <row r="96" spans="1:4" hidden="1" x14ac:dyDescent="0.3">
      <c r="A96" s="3">
        <v>44837</v>
      </c>
      <c r="B96">
        <f t="shared" si="4"/>
        <v>1</v>
      </c>
      <c r="C96" s="3" t="b">
        <f>+WORKDAY.INTL(A96-1,1,1,Feiertage[[Datum ]])=A96</f>
        <v>0</v>
      </c>
      <c r="D96" t="str">
        <f t="shared" si="5"/>
        <v>Montag</v>
      </c>
    </row>
    <row r="97" spans="1:4" hidden="1" x14ac:dyDescent="0.3">
      <c r="A97" s="3">
        <v>44838</v>
      </c>
      <c r="B97">
        <f t="shared" si="4"/>
        <v>2</v>
      </c>
      <c r="C97" s="3" t="b">
        <f>+WORKDAY.INTL(A97-1,1,1,Feiertage[[Datum ]])=A97</f>
        <v>1</v>
      </c>
      <c r="D97" t="str">
        <f t="shared" si="5"/>
        <v>Dienstag</v>
      </c>
    </row>
    <row r="98" spans="1:4" hidden="1" x14ac:dyDescent="0.3">
      <c r="A98" s="3">
        <v>44839</v>
      </c>
      <c r="B98">
        <f t="shared" si="4"/>
        <v>3</v>
      </c>
      <c r="C98" s="3" t="b">
        <f>+WORKDAY.INTL(A98-1,1,1,Feiertage[[Datum ]])=A98</f>
        <v>1</v>
      </c>
      <c r="D98" t="str">
        <f t="shared" si="5"/>
        <v>Mittwoch</v>
      </c>
    </row>
    <row r="99" spans="1:4" hidden="1" x14ac:dyDescent="0.3">
      <c r="A99" s="3">
        <v>44840</v>
      </c>
      <c r="B99">
        <f t="shared" si="4"/>
        <v>4</v>
      </c>
      <c r="C99" s="3" t="b">
        <f>+WORKDAY.INTL(A99-1,1,1,Feiertage[[Datum ]])=A99</f>
        <v>1</v>
      </c>
      <c r="D99" t="str">
        <f t="shared" si="5"/>
        <v>Donnerstag</v>
      </c>
    </row>
    <row r="100" spans="1:4" hidden="1" x14ac:dyDescent="0.3">
      <c r="A100" s="3">
        <v>44841</v>
      </c>
      <c r="B100">
        <f t="shared" si="4"/>
        <v>5</v>
      </c>
      <c r="C100" s="3" t="b">
        <f>+WORKDAY.INTL(A100-1,1,1,Feiertage[[Datum ]])=A100</f>
        <v>1</v>
      </c>
      <c r="D100" t="str">
        <f t="shared" si="5"/>
        <v>Freitag</v>
      </c>
    </row>
    <row r="101" spans="1:4" hidden="1" x14ac:dyDescent="0.3">
      <c r="A101" s="3">
        <v>44842</v>
      </c>
      <c r="B101">
        <f t="shared" si="4"/>
        <v>6</v>
      </c>
      <c r="C101" s="3" t="b">
        <f>+WORKDAY.INTL(A101-1,1,1,Feiertage[[Datum ]])=A101</f>
        <v>0</v>
      </c>
      <c r="D101" t="str">
        <f t="shared" si="5"/>
        <v>Samstag</v>
      </c>
    </row>
    <row r="102" spans="1:4" hidden="1" x14ac:dyDescent="0.3">
      <c r="A102" s="3">
        <v>44843</v>
      </c>
      <c r="B102">
        <f t="shared" si="4"/>
        <v>7</v>
      </c>
      <c r="C102" s="3" t="b">
        <f>+WORKDAY.INTL(A102-1,1,1,Feiertage[[Datum ]])=A102</f>
        <v>0</v>
      </c>
      <c r="D102" t="str">
        <f t="shared" si="5"/>
        <v>Sonntag</v>
      </c>
    </row>
    <row r="103" spans="1:4" hidden="1" x14ac:dyDescent="0.3">
      <c r="A103" s="3">
        <v>44844</v>
      </c>
      <c r="B103">
        <f t="shared" si="4"/>
        <v>1</v>
      </c>
      <c r="C103" s="3" t="b">
        <f>+WORKDAY.INTL(A103-1,1,1,Feiertage[[Datum ]])=A103</f>
        <v>1</v>
      </c>
      <c r="D103" t="str">
        <f t="shared" si="5"/>
        <v>Montag</v>
      </c>
    </row>
    <row r="104" spans="1:4" hidden="1" x14ac:dyDescent="0.3">
      <c r="A104" s="3">
        <v>44845</v>
      </c>
      <c r="B104">
        <f t="shared" si="4"/>
        <v>2</v>
      </c>
      <c r="C104" s="3" t="b">
        <f>+WORKDAY.INTL(A104-1,1,1,Feiertage[[Datum ]])=A104</f>
        <v>1</v>
      </c>
      <c r="D104" t="str">
        <f t="shared" si="5"/>
        <v>Dienstag</v>
      </c>
    </row>
    <row r="105" spans="1:4" hidden="1" x14ac:dyDescent="0.3">
      <c r="A105" s="3">
        <v>44846</v>
      </c>
      <c r="B105">
        <f t="shared" si="4"/>
        <v>3</v>
      </c>
      <c r="C105" s="3" t="b">
        <f>+WORKDAY.INTL(A105-1,1,1,Feiertage[[Datum ]])=A105</f>
        <v>1</v>
      </c>
      <c r="D105" t="str">
        <f t="shared" si="5"/>
        <v>Mittwoch</v>
      </c>
    </row>
    <row r="106" spans="1:4" hidden="1" x14ac:dyDescent="0.3">
      <c r="A106" s="3">
        <v>44847</v>
      </c>
      <c r="B106">
        <f t="shared" si="4"/>
        <v>4</v>
      </c>
      <c r="C106" s="3" t="b">
        <f>+WORKDAY.INTL(A106-1,1,1,Feiertage[[Datum ]])=A106</f>
        <v>1</v>
      </c>
      <c r="D106" t="str">
        <f t="shared" si="5"/>
        <v>Donnerstag</v>
      </c>
    </row>
    <row r="107" spans="1:4" hidden="1" x14ac:dyDescent="0.3">
      <c r="A107" s="3">
        <v>44848</v>
      </c>
      <c r="B107">
        <f t="shared" si="4"/>
        <v>5</v>
      </c>
      <c r="C107" s="3" t="b">
        <f>+WORKDAY.INTL(A107-1,1,1,Feiertage[[Datum ]])=A107</f>
        <v>1</v>
      </c>
      <c r="D107" t="str">
        <f t="shared" si="5"/>
        <v>Freitag</v>
      </c>
    </row>
    <row r="108" spans="1:4" hidden="1" x14ac:dyDescent="0.3">
      <c r="A108" s="3">
        <v>44849</v>
      </c>
      <c r="B108">
        <f t="shared" si="4"/>
        <v>6</v>
      </c>
      <c r="C108" s="3" t="b">
        <f>+WORKDAY.INTL(A108-1,1,1,Feiertage[[Datum ]])=A108</f>
        <v>0</v>
      </c>
      <c r="D108" t="str">
        <f t="shared" si="5"/>
        <v>Samstag</v>
      </c>
    </row>
    <row r="109" spans="1:4" hidden="1" x14ac:dyDescent="0.3">
      <c r="A109" s="3">
        <v>44850</v>
      </c>
      <c r="B109">
        <f t="shared" si="4"/>
        <v>7</v>
      </c>
      <c r="C109" s="3" t="b">
        <f>+WORKDAY.INTL(A109-1,1,1,Feiertage[[Datum ]])=A109</f>
        <v>0</v>
      </c>
      <c r="D109" t="str">
        <f t="shared" si="5"/>
        <v>Sonntag</v>
      </c>
    </row>
    <row r="110" spans="1:4" hidden="1" x14ac:dyDescent="0.3">
      <c r="A110" s="3">
        <v>44851</v>
      </c>
      <c r="B110">
        <f t="shared" si="4"/>
        <v>1</v>
      </c>
      <c r="C110" s="3" t="b">
        <f>+WORKDAY.INTL(A110-1,1,1,Feiertage[[Datum ]])=A110</f>
        <v>1</v>
      </c>
      <c r="D110" t="str">
        <f t="shared" si="5"/>
        <v>Montag</v>
      </c>
    </row>
    <row r="111" spans="1:4" hidden="1" x14ac:dyDescent="0.3">
      <c r="A111" s="3">
        <v>44852</v>
      </c>
      <c r="B111">
        <f t="shared" si="4"/>
        <v>2</v>
      </c>
      <c r="C111" s="3" t="b">
        <f>+WORKDAY.INTL(A111-1,1,1,Feiertage[[Datum ]])=A111</f>
        <v>1</v>
      </c>
      <c r="D111" t="str">
        <f t="shared" si="5"/>
        <v>Dienstag</v>
      </c>
    </row>
    <row r="112" spans="1:4" hidden="1" x14ac:dyDescent="0.3">
      <c r="A112" s="3">
        <v>44853</v>
      </c>
      <c r="B112">
        <f t="shared" si="4"/>
        <v>3</v>
      </c>
      <c r="C112" s="3" t="b">
        <f>+WORKDAY.INTL(A112-1,1,1,Feiertage[[Datum ]])=A112</f>
        <v>1</v>
      </c>
      <c r="D112" t="str">
        <f t="shared" si="5"/>
        <v>Mittwoch</v>
      </c>
    </row>
    <row r="113" spans="1:4" hidden="1" x14ac:dyDescent="0.3">
      <c r="A113" s="3">
        <v>44854</v>
      </c>
      <c r="B113">
        <f t="shared" si="4"/>
        <v>4</v>
      </c>
      <c r="C113" s="3" t="b">
        <f>+WORKDAY.INTL(A113-1,1,1,Feiertage[[Datum ]])=A113</f>
        <v>1</v>
      </c>
      <c r="D113" t="str">
        <f t="shared" si="5"/>
        <v>Donnerstag</v>
      </c>
    </row>
    <row r="114" spans="1:4" hidden="1" x14ac:dyDescent="0.3">
      <c r="A114" s="3">
        <v>44855</v>
      </c>
      <c r="B114">
        <f t="shared" si="4"/>
        <v>5</v>
      </c>
      <c r="C114" s="3" t="b">
        <f>+WORKDAY.INTL(A114-1,1,1,Feiertage[[Datum ]])=A114</f>
        <v>1</v>
      </c>
      <c r="D114" t="str">
        <f t="shared" si="5"/>
        <v>Freitag</v>
      </c>
    </row>
    <row r="115" spans="1:4" hidden="1" x14ac:dyDescent="0.3">
      <c r="A115" s="3">
        <v>44856</v>
      </c>
      <c r="B115">
        <f t="shared" si="4"/>
        <v>6</v>
      </c>
      <c r="C115" s="3" t="b">
        <f>+WORKDAY.INTL(A115-1,1,1,Feiertage[[Datum ]])=A115</f>
        <v>0</v>
      </c>
      <c r="D115" t="str">
        <f t="shared" si="5"/>
        <v>Samstag</v>
      </c>
    </row>
    <row r="116" spans="1:4" hidden="1" x14ac:dyDescent="0.3">
      <c r="A116" s="3">
        <v>44857</v>
      </c>
      <c r="B116">
        <f t="shared" si="4"/>
        <v>7</v>
      </c>
      <c r="C116" s="3" t="b">
        <f>+WORKDAY.INTL(A116-1,1,1,Feiertage[[Datum ]])=A116</f>
        <v>0</v>
      </c>
      <c r="D116" t="str">
        <f t="shared" si="5"/>
        <v>Sonntag</v>
      </c>
    </row>
    <row r="117" spans="1:4" hidden="1" x14ac:dyDescent="0.3">
      <c r="A117" s="3">
        <v>44858</v>
      </c>
      <c r="B117">
        <f t="shared" si="4"/>
        <v>1</v>
      </c>
      <c r="C117" s="3" t="b">
        <f>+WORKDAY.INTL(A117-1,1,1,Feiertage[[Datum ]])=A117</f>
        <v>1</v>
      </c>
      <c r="D117" t="str">
        <f t="shared" si="5"/>
        <v>Montag</v>
      </c>
    </row>
    <row r="118" spans="1:4" hidden="1" x14ac:dyDescent="0.3">
      <c r="A118" s="3">
        <v>44859</v>
      </c>
      <c r="B118">
        <f t="shared" si="4"/>
        <v>2</v>
      </c>
      <c r="C118" s="3" t="b">
        <f>+WORKDAY.INTL(A118-1,1,1,Feiertage[[Datum ]])=A118</f>
        <v>1</v>
      </c>
      <c r="D118" t="str">
        <f t="shared" si="5"/>
        <v>Dienstag</v>
      </c>
    </row>
    <row r="119" spans="1:4" hidden="1" x14ac:dyDescent="0.3">
      <c r="A119" s="3">
        <v>44860</v>
      </c>
      <c r="B119">
        <f t="shared" si="4"/>
        <v>3</v>
      </c>
      <c r="C119" s="3" t="b">
        <f>+WORKDAY.INTL(A119-1,1,1,Feiertage[[Datum ]])=A119</f>
        <v>1</v>
      </c>
      <c r="D119" t="str">
        <f t="shared" si="5"/>
        <v>Mittwoch</v>
      </c>
    </row>
    <row r="120" spans="1:4" hidden="1" x14ac:dyDescent="0.3">
      <c r="A120" s="3">
        <v>44861</v>
      </c>
      <c r="B120">
        <f t="shared" si="4"/>
        <v>4</v>
      </c>
      <c r="C120" s="3" t="b">
        <f>+WORKDAY.INTL(A120-1,1,1,Feiertage[[Datum ]])=A120</f>
        <v>1</v>
      </c>
      <c r="D120" t="str">
        <f t="shared" si="5"/>
        <v>Donnerstag</v>
      </c>
    </row>
    <row r="121" spans="1:4" hidden="1" x14ac:dyDescent="0.3">
      <c r="A121" s="3">
        <v>44862</v>
      </c>
      <c r="B121">
        <f t="shared" si="4"/>
        <v>5</v>
      </c>
      <c r="C121" s="3" t="b">
        <f>+WORKDAY.INTL(A121-1,1,1,Feiertage[[Datum ]])=A121</f>
        <v>1</v>
      </c>
      <c r="D121" t="str">
        <f t="shared" si="5"/>
        <v>Freitag</v>
      </c>
    </row>
    <row r="122" spans="1:4" hidden="1" x14ac:dyDescent="0.3">
      <c r="A122" s="3">
        <v>44863</v>
      </c>
      <c r="B122">
        <f t="shared" si="4"/>
        <v>6</v>
      </c>
      <c r="C122" s="3" t="b">
        <f>+WORKDAY.INTL(A122-1,1,1,Feiertage[[Datum ]])=A122</f>
        <v>0</v>
      </c>
      <c r="D122" t="str">
        <f t="shared" si="5"/>
        <v>Samstag</v>
      </c>
    </row>
    <row r="123" spans="1:4" hidden="1" x14ac:dyDescent="0.3">
      <c r="A123" s="3">
        <v>44864</v>
      </c>
      <c r="B123">
        <f t="shared" si="4"/>
        <v>7</v>
      </c>
      <c r="C123" s="3" t="b">
        <f>+WORKDAY.INTL(A123-1,1,1,Feiertage[[Datum ]])=A123</f>
        <v>0</v>
      </c>
      <c r="D123" t="str">
        <f t="shared" si="5"/>
        <v>Sonntag</v>
      </c>
    </row>
    <row r="124" spans="1:4" hidden="1" x14ac:dyDescent="0.3">
      <c r="A124" s="3">
        <v>44865</v>
      </c>
      <c r="B124">
        <f t="shared" si="4"/>
        <v>1</v>
      </c>
      <c r="C124" s="3" t="b">
        <f>+WORKDAY.INTL(A124-1,1,1,Feiertage[[Datum ]])=A124</f>
        <v>1</v>
      </c>
      <c r="D124" t="str">
        <f t="shared" si="5"/>
        <v>Montag</v>
      </c>
    </row>
    <row r="125" spans="1:4" hidden="1" x14ac:dyDescent="0.3">
      <c r="A125" s="3">
        <v>44866</v>
      </c>
      <c r="B125">
        <f t="shared" si="4"/>
        <v>2</v>
      </c>
      <c r="C125" s="3" t="b">
        <f>+WORKDAY.INTL(A125-1,1,1,Feiertage[[Datum ]])=A125</f>
        <v>0</v>
      </c>
      <c r="D125" t="str">
        <f>+TEXT(A125,"TTTT")</f>
        <v>Dienstag</v>
      </c>
    </row>
    <row r="126" spans="1:4" hidden="1" x14ac:dyDescent="0.3">
      <c r="A126" s="3">
        <v>44867</v>
      </c>
      <c r="B126">
        <f t="shared" si="4"/>
        <v>3</v>
      </c>
      <c r="C126" s="3" t="b">
        <f>+WORKDAY.INTL(A126-1,1,1,Feiertage[[Datum ]])=A126</f>
        <v>1</v>
      </c>
      <c r="D126" t="str">
        <f t="shared" ref="D126:D189" si="6">+TEXT(A126,"TTTT")</f>
        <v>Mittwoch</v>
      </c>
    </row>
    <row r="127" spans="1:4" hidden="1" x14ac:dyDescent="0.3">
      <c r="A127" s="3">
        <v>44868</v>
      </c>
      <c r="B127">
        <f t="shared" si="4"/>
        <v>4</v>
      </c>
      <c r="C127" s="3" t="b">
        <f>+WORKDAY.INTL(A127-1,1,1,Feiertage[[Datum ]])=A127</f>
        <v>1</v>
      </c>
      <c r="D127" t="str">
        <f t="shared" si="6"/>
        <v>Donnerstag</v>
      </c>
    </row>
    <row r="128" spans="1:4" hidden="1" x14ac:dyDescent="0.3">
      <c r="A128" s="3">
        <v>44869</v>
      </c>
      <c r="B128">
        <f t="shared" si="4"/>
        <v>5</v>
      </c>
      <c r="C128" s="3" t="b">
        <f>+WORKDAY.INTL(A128-1,1,1,Feiertage[[Datum ]])=A128</f>
        <v>1</v>
      </c>
      <c r="D128" t="str">
        <f t="shared" si="6"/>
        <v>Freitag</v>
      </c>
    </row>
    <row r="129" spans="1:4" hidden="1" x14ac:dyDescent="0.3">
      <c r="A129" s="3">
        <v>44870</v>
      </c>
      <c r="B129">
        <f t="shared" si="4"/>
        <v>6</v>
      </c>
      <c r="C129" s="3" t="b">
        <f>+WORKDAY.INTL(A129-1,1,1,Feiertage[[Datum ]])=A129</f>
        <v>0</v>
      </c>
      <c r="D129" t="str">
        <f t="shared" si="6"/>
        <v>Samstag</v>
      </c>
    </row>
    <row r="130" spans="1:4" hidden="1" x14ac:dyDescent="0.3">
      <c r="A130" s="3">
        <v>44871</v>
      </c>
      <c r="B130">
        <f t="shared" si="4"/>
        <v>7</v>
      </c>
      <c r="C130" s="3" t="b">
        <f>+WORKDAY.INTL(A130-1,1,1,Feiertage[[Datum ]])=A130</f>
        <v>0</v>
      </c>
      <c r="D130" t="str">
        <f t="shared" si="6"/>
        <v>Sonntag</v>
      </c>
    </row>
    <row r="131" spans="1:4" hidden="1" x14ac:dyDescent="0.3">
      <c r="A131" s="3">
        <v>44872</v>
      </c>
      <c r="B131">
        <f t="shared" si="4"/>
        <v>1</v>
      </c>
      <c r="C131" s="3" t="b">
        <f>+WORKDAY.INTL(A131-1,1,1,Feiertage[[Datum ]])=A131</f>
        <v>1</v>
      </c>
      <c r="D131" t="str">
        <f t="shared" si="6"/>
        <v>Montag</v>
      </c>
    </row>
    <row r="132" spans="1:4" hidden="1" x14ac:dyDescent="0.3">
      <c r="A132" s="3">
        <v>44873</v>
      </c>
      <c r="B132">
        <f t="shared" si="4"/>
        <v>2</v>
      </c>
      <c r="C132" s="3" t="b">
        <f>+WORKDAY.INTL(A132-1,1,1,Feiertage[[Datum ]])=A132</f>
        <v>1</v>
      </c>
      <c r="D132" t="str">
        <f t="shared" si="6"/>
        <v>Dienstag</v>
      </c>
    </row>
    <row r="133" spans="1:4" hidden="1" x14ac:dyDescent="0.3">
      <c r="A133" s="3">
        <v>44874</v>
      </c>
      <c r="B133">
        <f t="shared" si="4"/>
        <v>3</v>
      </c>
      <c r="C133" s="3" t="b">
        <f>+WORKDAY.INTL(A133-1,1,1,Feiertage[[Datum ]])=A133</f>
        <v>1</v>
      </c>
      <c r="D133" t="str">
        <f t="shared" si="6"/>
        <v>Mittwoch</v>
      </c>
    </row>
    <row r="134" spans="1:4" hidden="1" x14ac:dyDescent="0.3">
      <c r="A134" s="3">
        <v>44875</v>
      </c>
      <c r="B134">
        <f t="shared" si="4"/>
        <v>4</v>
      </c>
      <c r="C134" s="3" t="b">
        <f>+WORKDAY.INTL(A134-1,1,1,Feiertage[[Datum ]])=A134</f>
        <v>1</v>
      </c>
      <c r="D134" t="str">
        <f t="shared" si="6"/>
        <v>Donnerstag</v>
      </c>
    </row>
    <row r="135" spans="1:4" hidden="1" x14ac:dyDescent="0.3">
      <c r="A135" s="3">
        <v>44876</v>
      </c>
      <c r="B135">
        <f t="shared" si="4"/>
        <v>5</v>
      </c>
      <c r="C135" s="3" t="b">
        <f>+WORKDAY.INTL(A135-1,1,1,Feiertage[[Datum ]])=A135</f>
        <v>1</v>
      </c>
      <c r="D135" t="str">
        <f t="shared" si="6"/>
        <v>Freitag</v>
      </c>
    </row>
    <row r="136" spans="1:4" hidden="1" x14ac:dyDescent="0.3">
      <c r="A136" s="3">
        <v>44877</v>
      </c>
      <c r="B136">
        <f t="shared" si="4"/>
        <v>6</v>
      </c>
      <c r="C136" s="3" t="b">
        <f>+WORKDAY.INTL(A136-1,1,1,Feiertage[[Datum ]])=A136</f>
        <v>0</v>
      </c>
      <c r="D136" t="str">
        <f t="shared" si="6"/>
        <v>Samstag</v>
      </c>
    </row>
    <row r="137" spans="1:4" hidden="1" x14ac:dyDescent="0.3">
      <c r="A137" s="3">
        <v>44878</v>
      </c>
      <c r="B137">
        <f t="shared" si="4"/>
        <v>7</v>
      </c>
      <c r="C137" s="3" t="b">
        <f>+WORKDAY.INTL(A137-1,1,1,Feiertage[[Datum ]])=A137</f>
        <v>0</v>
      </c>
      <c r="D137" t="str">
        <f t="shared" si="6"/>
        <v>Sonntag</v>
      </c>
    </row>
    <row r="138" spans="1:4" hidden="1" x14ac:dyDescent="0.3">
      <c r="A138" s="3">
        <v>44879</v>
      </c>
      <c r="B138">
        <f t="shared" si="4"/>
        <v>1</v>
      </c>
      <c r="C138" s="3" t="b">
        <f>+WORKDAY.INTL(A138-1,1,1,Feiertage[[Datum ]])=A138</f>
        <v>1</v>
      </c>
      <c r="D138" t="str">
        <f t="shared" si="6"/>
        <v>Montag</v>
      </c>
    </row>
    <row r="139" spans="1:4" hidden="1" x14ac:dyDescent="0.3">
      <c r="A139" s="3">
        <v>44880</v>
      </c>
      <c r="B139">
        <f t="shared" si="4"/>
        <v>2</v>
      </c>
      <c r="C139" s="3" t="b">
        <f>+WORKDAY.INTL(A139-1,1,1,Feiertage[[Datum ]])=A139</f>
        <v>1</v>
      </c>
      <c r="D139" t="str">
        <f t="shared" si="6"/>
        <v>Dienstag</v>
      </c>
    </row>
    <row r="140" spans="1:4" hidden="1" x14ac:dyDescent="0.3">
      <c r="A140" s="3">
        <v>44881</v>
      </c>
      <c r="B140">
        <f t="shared" si="4"/>
        <v>3</v>
      </c>
      <c r="C140" s="3" t="b">
        <f>+WORKDAY.INTL(A140-1,1,1,Feiertage[[Datum ]])=A140</f>
        <v>1</v>
      </c>
      <c r="D140" t="str">
        <f t="shared" si="6"/>
        <v>Mittwoch</v>
      </c>
    </row>
    <row r="141" spans="1:4" hidden="1" x14ac:dyDescent="0.3">
      <c r="A141" s="3">
        <v>44882</v>
      </c>
      <c r="B141">
        <f t="shared" si="4"/>
        <v>4</v>
      </c>
      <c r="C141" s="3" t="b">
        <f>+WORKDAY.INTL(A141-1,1,1,Feiertage[[Datum ]])=A141</f>
        <v>1</v>
      </c>
      <c r="D141" t="str">
        <f t="shared" si="6"/>
        <v>Donnerstag</v>
      </c>
    </row>
    <row r="142" spans="1:4" hidden="1" x14ac:dyDescent="0.3">
      <c r="A142" s="3">
        <v>44883</v>
      </c>
      <c r="B142">
        <f t="shared" ref="B142:B205" si="7">+WEEKDAY(A142,2)</f>
        <v>5</v>
      </c>
      <c r="C142" s="3" t="b">
        <f>+WORKDAY.INTL(A142-1,1,1,Feiertage[[Datum ]])=A142</f>
        <v>1</v>
      </c>
      <c r="D142" t="str">
        <f t="shared" si="6"/>
        <v>Freitag</v>
      </c>
    </row>
    <row r="143" spans="1:4" hidden="1" x14ac:dyDescent="0.3">
      <c r="A143" s="3">
        <v>44884</v>
      </c>
      <c r="B143">
        <f t="shared" si="7"/>
        <v>6</v>
      </c>
      <c r="C143" s="3" t="b">
        <f>+WORKDAY.INTL(A143-1,1,1,Feiertage[[Datum ]])=A143</f>
        <v>0</v>
      </c>
      <c r="D143" t="str">
        <f t="shared" si="6"/>
        <v>Samstag</v>
      </c>
    </row>
    <row r="144" spans="1:4" hidden="1" x14ac:dyDescent="0.3">
      <c r="A144" s="3">
        <v>44885</v>
      </c>
      <c r="B144">
        <f t="shared" si="7"/>
        <v>7</v>
      </c>
      <c r="C144" s="3" t="b">
        <f>+WORKDAY.INTL(A144-1,1,1,Feiertage[[Datum ]])=A144</f>
        <v>0</v>
      </c>
      <c r="D144" t="str">
        <f t="shared" si="6"/>
        <v>Sonntag</v>
      </c>
    </row>
    <row r="145" spans="1:4" hidden="1" x14ac:dyDescent="0.3">
      <c r="A145" s="3">
        <v>44886</v>
      </c>
      <c r="B145">
        <f t="shared" si="7"/>
        <v>1</v>
      </c>
      <c r="C145" s="3" t="b">
        <f>+WORKDAY.INTL(A145-1,1,1,Feiertage[[Datum ]])=A145</f>
        <v>1</v>
      </c>
      <c r="D145" t="str">
        <f t="shared" si="6"/>
        <v>Montag</v>
      </c>
    </row>
    <row r="146" spans="1:4" hidden="1" x14ac:dyDescent="0.3">
      <c r="A146" s="3">
        <v>44887</v>
      </c>
      <c r="B146">
        <f t="shared" si="7"/>
        <v>2</v>
      </c>
      <c r="C146" s="3" t="b">
        <f>+WORKDAY.INTL(A146-1,1,1,Feiertage[[Datum ]])=A146</f>
        <v>1</v>
      </c>
      <c r="D146" t="str">
        <f t="shared" si="6"/>
        <v>Dienstag</v>
      </c>
    </row>
    <row r="147" spans="1:4" hidden="1" x14ac:dyDescent="0.3">
      <c r="A147" s="3">
        <v>44888</v>
      </c>
      <c r="B147">
        <f t="shared" si="7"/>
        <v>3</v>
      </c>
      <c r="C147" s="3" t="b">
        <f>+WORKDAY.INTL(A147-1,1,1,Feiertage[[Datum ]])=A147</f>
        <v>1</v>
      </c>
      <c r="D147" t="str">
        <f t="shared" si="6"/>
        <v>Mittwoch</v>
      </c>
    </row>
    <row r="148" spans="1:4" hidden="1" x14ac:dyDescent="0.3">
      <c r="A148" s="3">
        <v>44889</v>
      </c>
      <c r="B148">
        <f t="shared" si="7"/>
        <v>4</v>
      </c>
      <c r="C148" s="3" t="b">
        <f>+WORKDAY.INTL(A148-1,1,1,Feiertage[[Datum ]])=A148</f>
        <v>1</v>
      </c>
      <c r="D148" t="str">
        <f t="shared" si="6"/>
        <v>Donnerstag</v>
      </c>
    </row>
    <row r="149" spans="1:4" hidden="1" x14ac:dyDescent="0.3">
      <c r="A149" s="3">
        <v>44890</v>
      </c>
      <c r="B149">
        <f t="shared" si="7"/>
        <v>5</v>
      </c>
      <c r="C149" s="3" t="b">
        <f>+WORKDAY.INTL(A149-1,1,1,Feiertage[[Datum ]])=A149</f>
        <v>1</v>
      </c>
      <c r="D149" t="str">
        <f t="shared" si="6"/>
        <v>Freitag</v>
      </c>
    </row>
    <row r="150" spans="1:4" hidden="1" x14ac:dyDescent="0.3">
      <c r="A150" s="3">
        <v>44891</v>
      </c>
      <c r="B150">
        <f t="shared" si="7"/>
        <v>6</v>
      </c>
      <c r="C150" s="3" t="b">
        <f>+WORKDAY.INTL(A150-1,1,1,Feiertage[[Datum ]])=A150</f>
        <v>0</v>
      </c>
      <c r="D150" t="str">
        <f t="shared" si="6"/>
        <v>Samstag</v>
      </c>
    </row>
    <row r="151" spans="1:4" hidden="1" x14ac:dyDescent="0.3">
      <c r="A151" s="3">
        <v>44892</v>
      </c>
      <c r="B151">
        <f t="shared" si="7"/>
        <v>7</v>
      </c>
      <c r="C151" s="3" t="b">
        <f>+WORKDAY.INTL(A151-1,1,1,Feiertage[[Datum ]])=A151</f>
        <v>0</v>
      </c>
      <c r="D151" t="str">
        <f t="shared" si="6"/>
        <v>Sonntag</v>
      </c>
    </row>
    <row r="152" spans="1:4" hidden="1" x14ac:dyDescent="0.3">
      <c r="A152" s="3">
        <v>44893</v>
      </c>
      <c r="B152">
        <f t="shared" si="7"/>
        <v>1</v>
      </c>
      <c r="C152" s="3" t="b">
        <f>+WORKDAY.INTL(A152-1,1,1,Feiertage[[Datum ]])=A152</f>
        <v>1</v>
      </c>
      <c r="D152" t="str">
        <f t="shared" si="6"/>
        <v>Montag</v>
      </c>
    </row>
    <row r="153" spans="1:4" hidden="1" x14ac:dyDescent="0.3">
      <c r="A153" s="3">
        <v>44894</v>
      </c>
      <c r="B153">
        <f t="shared" si="7"/>
        <v>2</v>
      </c>
      <c r="C153" s="3" t="b">
        <f>+WORKDAY.INTL(A153-1,1,1,Feiertage[[Datum ]])=A153</f>
        <v>1</v>
      </c>
      <c r="D153" t="str">
        <f t="shared" si="6"/>
        <v>Dienstag</v>
      </c>
    </row>
    <row r="154" spans="1:4" hidden="1" x14ac:dyDescent="0.3">
      <c r="A154" s="3">
        <v>44895</v>
      </c>
      <c r="B154">
        <f t="shared" si="7"/>
        <v>3</v>
      </c>
      <c r="C154" s="3" t="b">
        <f>+WORKDAY.INTL(A154-1,1,1,Feiertage[[Datum ]])=A154</f>
        <v>1</v>
      </c>
      <c r="D154" t="str">
        <f t="shared" si="6"/>
        <v>Mittwoch</v>
      </c>
    </row>
    <row r="155" spans="1:4" hidden="1" x14ac:dyDescent="0.3">
      <c r="A155" s="3">
        <v>44896</v>
      </c>
      <c r="B155">
        <f t="shared" si="7"/>
        <v>4</v>
      </c>
      <c r="C155" s="3" t="b">
        <f>+WORKDAY.INTL(A155-1,1,1,Feiertage[[Datum ]])=A155</f>
        <v>1</v>
      </c>
      <c r="D155" t="str">
        <f t="shared" si="6"/>
        <v>Donnerstag</v>
      </c>
    </row>
    <row r="156" spans="1:4" hidden="1" x14ac:dyDescent="0.3">
      <c r="A156" s="3">
        <v>44897</v>
      </c>
      <c r="B156">
        <f t="shared" si="7"/>
        <v>5</v>
      </c>
      <c r="C156" s="3" t="b">
        <f>+WORKDAY.INTL(A156-1,1,1,Feiertage[[Datum ]])=A156</f>
        <v>1</v>
      </c>
      <c r="D156" t="str">
        <f t="shared" si="6"/>
        <v>Freitag</v>
      </c>
    </row>
    <row r="157" spans="1:4" hidden="1" x14ac:dyDescent="0.3">
      <c r="A157" s="3">
        <v>44898</v>
      </c>
      <c r="B157">
        <f t="shared" si="7"/>
        <v>6</v>
      </c>
      <c r="C157" s="3" t="b">
        <f>+WORKDAY.INTL(A157-1,1,1,Feiertage[[Datum ]])=A157</f>
        <v>0</v>
      </c>
      <c r="D157" t="str">
        <f t="shared" si="6"/>
        <v>Samstag</v>
      </c>
    </row>
    <row r="158" spans="1:4" hidden="1" x14ac:dyDescent="0.3">
      <c r="A158" s="3">
        <v>44899</v>
      </c>
      <c r="B158">
        <f t="shared" si="7"/>
        <v>7</v>
      </c>
      <c r="C158" s="3" t="b">
        <f>+WORKDAY.INTL(A158-1,1,1,Feiertage[[Datum ]])=A158</f>
        <v>0</v>
      </c>
      <c r="D158" t="str">
        <f t="shared" si="6"/>
        <v>Sonntag</v>
      </c>
    </row>
    <row r="159" spans="1:4" hidden="1" x14ac:dyDescent="0.3">
      <c r="A159" s="3">
        <v>44900</v>
      </c>
      <c r="B159">
        <f t="shared" si="7"/>
        <v>1</v>
      </c>
      <c r="C159" s="3" t="b">
        <f>+WORKDAY.INTL(A159-1,1,1,Feiertage[[Datum ]])=A159</f>
        <v>1</v>
      </c>
      <c r="D159" t="str">
        <f t="shared" si="6"/>
        <v>Montag</v>
      </c>
    </row>
    <row r="160" spans="1:4" hidden="1" x14ac:dyDescent="0.3">
      <c r="A160" s="3">
        <v>44901</v>
      </c>
      <c r="B160">
        <f t="shared" si="7"/>
        <v>2</v>
      </c>
      <c r="C160" s="3" t="b">
        <f>+WORKDAY.INTL(A160-1,1,1,Feiertage[[Datum ]])=A160</f>
        <v>1</v>
      </c>
      <c r="D160" t="str">
        <f t="shared" si="6"/>
        <v>Dienstag</v>
      </c>
    </row>
    <row r="161" spans="1:4" hidden="1" x14ac:dyDescent="0.3">
      <c r="A161" s="3">
        <v>44902</v>
      </c>
      <c r="B161">
        <f t="shared" si="7"/>
        <v>3</v>
      </c>
      <c r="C161" s="3" t="b">
        <f>+WORKDAY.INTL(A161-1,1,1,Feiertage[[Datum ]])=A161</f>
        <v>1</v>
      </c>
      <c r="D161" t="str">
        <f t="shared" si="6"/>
        <v>Mittwoch</v>
      </c>
    </row>
    <row r="162" spans="1:4" hidden="1" x14ac:dyDescent="0.3">
      <c r="A162" s="3">
        <v>44903</v>
      </c>
      <c r="B162">
        <f t="shared" si="7"/>
        <v>4</v>
      </c>
      <c r="C162" s="3" t="b">
        <f>+WORKDAY.INTL(A162-1,1,1,Feiertage[[Datum ]])=A162</f>
        <v>1</v>
      </c>
      <c r="D162" t="str">
        <f t="shared" si="6"/>
        <v>Donnerstag</v>
      </c>
    </row>
    <row r="163" spans="1:4" hidden="1" x14ac:dyDescent="0.3">
      <c r="A163" s="3">
        <v>44904</v>
      </c>
      <c r="B163">
        <f t="shared" si="7"/>
        <v>5</v>
      </c>
      <c r="C163" s="3" t="b">
        <f>+WORKDAY.INTL(A163-1,1,1,Feiertage[[Datum ]])=A163</f>
        <v>1</v>
      </c>
      <c r="D163" t="str">
        <f t="shared" si="6"/>
        <v>Freitag</v>
      </c>
    </row>
    <row r="164" spans="1:4" hidden="1" x14ac:dyDescent="0.3">
      <c r="A164" s="3">
        <v>44905</v>
      </c>
      <c r="B164">
        <f t="shared" si="7"/>
        <v>6</v>
      </c>
      <c r="C164" s="3" t="b">
        <f>+WORKDAY.INTL(A164-1,1,1,Feiertage[[Datum ]])=A164</f>
        <v>0</v>
      </c>
      <c r="D164" t="str">
        <f t="shared" si="6"/>
        <v>Samstag</v>
      </c>
    </row>
    <row r="165" spans="1:4" hidden="1" x14ac:dyDescent="0.3">
      <c r="A165" s="3">
        <v>44906</v>
      </c>
      <c r="B165">
        <f t="shared" si="7"/>
        <v>7</v>
      </c>
      <c r="C165" s="3" t="b">
        <f>+WORKDAY.INTL(A165-1,1,1,Feiertage[[Datum ]])=A165</f>
        <v>0</v>
      </c>
      <c r="D165" t="str">
        <f t="shared" si="6"/>
        <v>Sonntag</v>
      </c>
    </row>
    <row r="166" spans="1:4" hidden="1" x14ac:dyDescent="0.3">
      <c r="A166" s="3">
        <v>44907</v>
      </c>
      <c r="B166">
        <f t="shared" si="7"/>
        <v>1</v>
      </c>
      <c r="C166" s="3" t="b">
        <f>+WORKDAY.INTL(A166-1,1,1,Feiertage[[Datum ]])=A166</f>
        <v>1</v>
      </c>
      <c r="D166" t="str">
        <f t="shared" si="6"/>
        <v>Montag</v>
      </c>
    </row>
    <row r="167" spans="1:4" hidden="1" x14ac:dyDescent="0.3">
      <c r="A167" s="3">
        <v>44908</v>
      </c>
      <c r="B167">
        <f t="shared" si="7"/>
        <v>2</v>
      </c>
      <c r="C167" s="3" t="b">
        <f>+WORKDAY.INTL(A167-1,1,1,Feiertage[[Datum ]])=A167</f>
        <v>1</v>
      </c>
      <c r="D167" t="str">
        <f t="shared" si="6"/>
        <v>Dienstag</v>
      </c>
    </row>
    <row r="168" spans="1:4" hidden="1" x14ac:dyDescent="0.3">
      <c r="A168" s="3">
        <v>44909</v>
      </c>
      <c r="B168">
        <f t="shared" si="7"/>
        <v>3</v>
      </c>
      <c r="C168" s="3" t="b">
        <f>+WORKDAY.INTL(A168-1,1,1,Feiertage[[Datum ]])=A168</f>
        <v>1</v>
      </c>
      <c r="D168" t="str">
        <f t="shared" si="6"/>
        <v>Mittwoch</v>
      </c>
    </row>
    <row r="169" spans="1:4" hidden="1" x14ac:dyDescent="0.3">
      <c r="A169" s="3">
        <v>44910</v>
      </c>
      <c r="B169">
        <f t="shared" si="7"/>
        <v>4</v>
      </c>
      <c r="C169" s="3" t="b">
        <f>+WORKDAY.INTL(A169-1,1,1,Feiertage[[Datum ]])=A169</f>
        <v>1</v>
      </c>
      <c r="D169" t="str">
        <f t="shared" si="6"/>
        <v>Donnerstag</v>
      </c>
    </row>
    <row r="170" spans="1:4" hidden="1" x14ac:dyDescent="0.3">
      <c r="A170" s="3">
        <v>44911</v>
      </c>
      <c r="B170">
        <f t="shared" si="7"/>
        <v>5</v>
      </c>
      <c r="C170" s="3" t="b">
        <f>+WORKDAY.INTL(A170-1,1,1,Feiertage[[Datum ]])=A170</f>
        <v>1</v>
      </c>
      <c r="D170" t="str">
        <f t="shared" si="6"/>
        <v>Freitag</v>
      </c>
    </row>
    <row r="171" spans="1:4" hidden="1" x14ac:dyDescent="0.3">
      <c r="A171" s="3">
        <v>44912</v>
      </c>
      <c r="B171">
        <f t="shared" si="7"/>
        <v>6</v>
      </c>
      <c r="C171" s="3" t="b">
        <f>+WORKDAY.INTL(A171-1,1,1,Feiertage[[Datum ]])=A171</f>
        <v>0</v>
      </c>
      <c r="D171" t="str">
        <f t="shared" si="6"/>
        <v>Samstag</v>
      </c>
    </row>
    <row r="172" spans="1:4" hidden="1" x14ac:dyDescent="0.3">
      <c r="A172" s="3">
        <v>44913</v>
      </c>
      <c r="B172">
        <f t="shared" si="7"/>
        <v>7</v>
      </c>
      <c r="C172" s="3" t="b">
        <f>+WORKDAY.INTL(A172-1,1,1,Feiertage[[Datum ]])=A172</f>
        <v>0</v>
      </c>
      <c r="D172" t="str">
        <f t="shared" si="6"/>
        <v>Sonntag</v>
      </c>
    </row>
    <row r="173" spans="1:4" hidden="1" x14ac:dyDescent="0.3">
      <c r="A173" s="3">
        <v>44914</v>
      </c>
      <c r="B173">
        <f t="shared" si="7"/>
        <v>1</v>
      </c>
      <c r="C173" s="3" t="b">
        <f>+WORKDAY.INTL(A173-1,1,1,Feiertage[[Datum ]])=A173</f>
        <v>1</v>
      </c>
      <c r="D173" t="str">
        <f t="shared" si="6"/>
        <v>Montag</v>
      </c>
    </row>
    <row r="174" spans="1:4" hidden="1" x14ac:dyDescent="0.3">
      <c r="A174" s="3">
        <v>44915</v>
      </c>
      <c r="B174">
        <f t="shared" si="7"/>
        <v>2</v>
      </c>
      <c r="C174" s="3" t="b">
        <f>+WORKDAY.INTL(A174-1,1,1,Feiertage[[Datum ]])=A174</f>
        <v>1</v>
      </c>
      <c r="D174" t="str">
        <f t="shared" si="6"/>
        <v>Dienstag</v>
      </c>
    </row>
    <row r="175" spans="1:4" hidden="1" x14ac:dyDescent="0.3">
      <c r="A175" s="3">
        <v>44916</v>
      </c>
      <c r="B175">
        <f t="shared" si="7"/>
        <v>3</v>
      </c>
      <c r="C175" s="3" t="b">
        <f>+WORKDAY.INTL(A175-1,1,1,Feiertage[[Datum ]])=A175</f>
        <v>1</v>
      </c>
      <c r="D175" t="str">
        <f t="shared" si="6"/>
        <v>Mittwoch</v>
      </c>
    </row>
    <row r="176" spans="1:4" hidden="1" x14ac:dyDescent="0.3">
      <c r="A176" s="3">
        <v>44917</v>
      </c>
      <c r="B176">
        <f t="shared" si="7"/>
        <v>4</v>
      </c>
      <c r="C176" s="3" t="b">
        <f>+WORKDAY.INTL(A176-1,1,1,Feiertage[[Datum ]])=A176</f>
        <v>1</v>
      </c>
      <c r="D176" t="str">
        <f t="shared" si="6"/>
        <v>Donnerstag</v>
      </c>
    </row>
    <row r="177" spans="1:4" hidden="1" x14ac:dyDescent="0.3">
      <c r="A177" s="3">
        <v>44918</v>
      </c>
      <c r="B177">
        <f t="shared" si="7"/>
        <v>5</v>
      </c>
      <c r="C177" s="3" t="b">
        <f>+WORKDAY.INTL(A177-1,1,1,Feiertage[[Datum ]])=A177</f>
        <v>1</v>
      </c>
      <c r="D177" t="str">
        <f t="shared" si="6"/>
        <v>Freitag</v>
      </c>
    </row>
    <row r="178" spans="1:4" hidden="1" x14ac:dyDescent="0.3">
      <c r="A178" s="3">
        <v>44919</v>
      </c>
      <c r="B178">
        <f t="shared" si="7"/>
        <v>6</v>
      </c>
      <c r="C178" s="3" t="b">
        <f>+WORKDAY.INTL(A178-1,1,1,Feiertage[[Datum ]])=A178</f>
        <v>0</v>
      </c>
      <c r="D178" t="str">
        <f t="shared" si="6"/>
        <v>Samstag</v>
      </c>
    </row>
    <row r="179" spans="1:4" hidden="1" x14ac:dyDescent="0.3">
      <c r="A179" s="3">
        <v>44920</v>
      </c>
      <c r="B179">
        <f t="shared" si="7"/>
        <v>7</v>
      </c>
      <c r="C179" s="3" t="b">
        <f>+WORKDAY.INTL(A179-1,1,1,Feiertage[[Datum ]])=A179</f>
        <v>0</v>
      </c>
      <c r="D179" t="str">
        <f t="shared" si="6"/>
        <v>Sonntag</v>
      </c>
    </row>
    <row r="180" spans="1:4" hidden="1" x14ac:dyDescent="0.3">
      <c r="A180" s="3">
        <v>44921</v>
      </c>
      <c r="B180">
        <f t="shared" si="7"/>
        <v>1</v>
      </c>
      <c r="C180" s="3" t="b">
        <f>+WORKDAY.INTL(A180-1,1,1,Feiertage[[Datum ]])=A180</f>
        <v>0</v>
      </c>
      <c r="D180" t="str">
        <f t="shared" si="6"/>
        <v>Montag</v>
      </c>
    </row>
    <row r="181" spans="1:4" hidden="1" x14ac:dyDescent="0.3">
      <c r="A181" s="3">
        <v>44922</v>
      </c>
      <c r="B181">
        <f t="shared" si="7"/>
        <v>2</v>
      </c>
      <c r="C181" s="3" t="b">
        <f>+WORKDAY.INTL(A181-1,1,1,Feiertage[[Datum ]])=A181</f>
        <v>1</v>
      </c>
      <c r="D181" t="str">
        <f t="shared" si="6"/>
        <v>Dienstag</v>
      </c>
    </row>
    <row r="182" spans="1:4" hidden="1" x14ac:dyDescent="0.3">
      <c r="A182" s="3">
        <v>44923</v>
      </c>
      <c r="B182">
        <f t="shared" si="7"/>
        <v>3</v>
      </c>
      <c r="C182" s="3" t="b">
        <f>+WORKDAY.INTL(A182-1,1,1,Feiertage[[Datum ]])=A182</f>
        <v>1</v>
      </c>
      <c r="D182" t="str">
        <f t="shared" si="6"/>
        <v>Mittwoch</v>
      </c>
    </row>
    <row r="183" spans="1:4" hidden="1" x14ac:dyDescent="0.3">
      <c r="A183" s="3">
        <v>44924</v>
      </c>
      <c r="B183">
        <f t="shared" si="7"/>
        <v>4</v>
      </c>
      <c r="C183" s="3" t="b">
        <f>+WORKDAY.INTL(A183-1,1,1,Feiertage[[Datum ]])=A183</f>
        <v>1</v>
      </c>
      <c r="D183" t="str">
        <f t="shared" si="6"/>
        <v>Donnerstag</v>
      </c>
    </row>
    <row r="184" spans="1:4" hidden="1" x14ac:dyDescent="0.3">
      <c r="A184" s="3">
        <v>44925</v>
      </c>
      <c r="B184">
        <f t="shared" si="7"/>
        <v>5</v>
      </c>
      <c r="C184" s="3" t="b">
        <f>+WORKDAY.INTL(A184-1,1,1,Feiertage[[Datum ]])=A184</f>
        <v>1</v>
      </c>
      <c r="D184" t="str">
        <f t="shared" si="6"/>
        <v>Freitag</v>
      </c>
    </row>
    <row r="185" spans="1:4" hidden="1" x14ac:dyDescent="0.3">
      <c r="A185" s="3">
        <v>44926</v>
      </c>
      <c r="B185">
        <f t="shared" si="7"/>
        <v>6</v>
      </c>
      <c r="C185" s="3" t="b">
        <f>+WORKDAY.INTL(A185-1,1,1,Feiertage[[Datum ]])=A185</f>
        <v>0</v>
      </c>
      <c r="D185" t="str">
        <f t="shared" si="6"/>
        <v>Samstag</v>
      </c>
    </row>
    <row r="186" spans="1:4" x14ac:dyDescent="0.3">
      <c r="A186" s="3">
        <v>44927</v>
      </c>
      <c r="B186">
        <f t="shared" si="7"/>
        <v>7</v>
      </c>
      <c r="C186" s="3" t="b">
        <f>+WORKDAY.INTL(A186-1,1,1,Feiertage[[Datum ]])=A186</f>
        <v>0</v>
      </c>
      <c r="D186" t="str">
        <f t="shared" si="6"/>
        <v>Sonntag</v>
      </c>
    </row>
    <row r="187" spans="1:4" x14ac:dyDescent="0.3">
      <c r="A187" s="3">
        <v>44928</v>
      </c>
      <c r="B187">
        <f t="shared" si="7"/>
        <v>1</v>
      </c>
      <c r="C187" s="3" t="b">
        <f>+WORKDAY.INTL(A187-1,1,1,Feiertage[[Datum ]])=A187</f>
        <v>1</v>
      </c>
      <c r="D187" t="str">
        <f t="shared" si="6"/>
        <v>Montag</v>
      </c>
    </row>
    <row r="188" spans="1:4" x14ac:dyDescent="0.3">
      <c r="A188" s="3">
        <v>44929</v>
      </c>
      <c r="B188">
        <f t="shared" si="7"/>
        <v>2</v>
      </c>
      <c r="C188" s="3" t="b">
        <f>+WORKDAY.INTL(A188-1,1,1,Feiertage[[Datum ]])=A188</f>
        <v>1</v>
      </c>
      <c r="D188" t="str">
        <f t="shared" si="6"/>
        <v>Dienstag</v>
      </c>
    </row>
    <row r="189" spans="1:4" x14ac:dyDescent="0.3">
      <c r="A189" s="3">
        <v>44930</v>
      </c>
      <c r="B189">
        <f t="shared" si="7"/>
        <v>3</v>
      </c>
      <c r="C189" s="3" t="b">
        <f>+WORKDAY.INTL(A189-1,1,1,Feiertage[[Datum ]])=A189</f>
        <v>1</v>
      </c>
      <c r="D189" t="str">
        <f t="shared" si="6"/>
        <v>Mittwoch</v>
      </c>
    </row>
    <row r="190" spans="1:4" x14ac:dyDescent="0.3">
      <c r="A190" s="3">
        <v>44931</v>
      </c>
      <c r="B190">
        <f t="shared" si="7"/>
        <v>4</v>
      </c>
      <c r="C190" s="3" t="b">
        <f>+WORKDAY.INTL(A190-1,1,1,Feiertage[[Datum ]])=A190</f>
        <v>1</v>
      </c>
      <c r="D190" t="str">
        <f t="shared" ref="D190:D253" si="8">+TEXT(A190,"TTTT")</f>
        <v>Donnerstag</v>
      </c>
    </row>
    <row r="191" spans="1:4" x14ac:dyDescent="0.3">
      <c r="A191" s="3">
        <v>44932</v>
      </c>
      <c r="B191">
        <f t="shared" si="7"/>
        <v>5</v>
      </c>
      <c r="C191" s="3" t="b">
        <f>+WORKDAY.INTL(A191-1,1,1,Feiertage[[Datum ]])=A191</f>
        <v>1</v>
      </c>
      <c r="D191" t="str">
        <f t="shared" si="8"/>
        <v>Freitag</v>
      </c>
    </row>
    <row r="192" spans="1:4" x14ac:dyDescent="0.3">
      <c r="A192" s="3">
        <v>44933</v>
      </c>
      <c r="B192">
        <f t="shared" si="7"/>
        <v>6</v>
      </c>
      <c r="C192" s="3" t="b">
        <f>+WORKDAY.INTL(A192-1,1,1,Feiertage[[Datum ]])=A192</f>
        <v>0</v>
      </c>
      <c r="D192" t="str">
        <f t="shared" si="8"/>
        <v>Samstag</v>
      </c>
    </row>
    <row r="193" spans="1:4" x14ac:dyDescent="0.3">
      <c r="A193" s="3">
        <v>44934</v>
      </c>
      <c r="B193">
        <f t="shared" si="7"/>
        <v>7</v>
      </c>
      <c r="C193" s="3" t="b">
        <f>+WORKDAY.INTL(A193-1,1,1,Feiertage[[Datum ]])=A193</f>
        <v>0</v>
      </c>
      <c r="D193" t="str">
        <f t="shared" si="8"/>
        <v>Sonntag</v>
      </c>
    </row>
    <row r="194" spans="1:4" x14ac:dyDescent="0.3">
      <c r="A194" s="3">
        <v>44935</v>
      </c>
      <c r="B194">
        <f t="shared" si="7"/>
        <v>1</v>
      </c>
      <c r="C194" s="3" t="b">
        <f>+WORKDAY.INTL(A194-1,1,1,Feiertage[[Datum ]])=A194</f>
        <v>1</v>
      </c>
      <c r="D194" t="str">
        <f t="shared" si="8"/>
        <v>Montag</v>
      </c>
    </row>
    <row r="195" spans="1:4" x14ac:dyDescent="0.3">
      <c r="A195" s="3">
        <v>44936</v>
      </c>
      <c r="B195">
        <f t="shared" si="7"/>
        <v>2</v>
      </c>
      <c r="C195" s="3" t="b">
        <f>+WORKDAY.INTL(A195-1,1,1,Feiertage[[Datum ]])=A195</f>
        <v>1</v>
      </c>
      <c r="D195" t="str">
        <f t="shared" si="8"/>
        <v>Dienstag</v>
      </c>
    </row>
    <row r="196" spans="1:4" x14ac:dyDescent="0.3">
      <c r="A196" s="3">
        <v>44937</v>
      </c>
      <c r="B196">
        <f t="shared" si="7"/>
        <v>3</v>
      </c>
      <c r="C196" s="3" t="b">
        <f>+WORKDAY.INTL(A196-1,1,1,Feiertage[[Datum ]])=A196</f>
        <v>1</v>
      </c>
      <c r="D196" t="str">
        <f t="shared" si="8"/>
        <v>Mittwoch</v>
      </c>
    </row>
    <row r="197" spans="1:4" x14ac:dyDescent="0.3">
      <c r="A197" s="3">
        <v>44938</v>
      </c>
      <c r="B197">
        <f t="shared" si="7"/>
        <v>4</v>
      </c>
      <c r="C197" s="3" t="b">
        <f>+WORKDAY.INTL(A197-1,1,1,Feiertage[[Datum ]])=A197</f>
        <v>1</v>
      </c>
      <c r="D197" t="str">
        <f t="shared" si="8"/>
        <v>Donnerstag</v>
      </c>
    </row>
    <row r="198" spans="1:4" x14ac:dyDescent="0.3">
      <c r="A198" s="3">
        <v>44939</v>
      </c>
      <c r="B198">
        <f t="shared" si="7"/>
        <v>5</v>
      </c>
      <c r="C198" s="3" t="b">
        <f>+WORKDAY.INTL(A198-1,1,1,Feiertage[[Datum ]])=A198</f>
        <v>1</v>
      </c>
      <c r="D198" t="str">
        <f t="shared" si="8"/>
        <v>Freitag</v>
      </c>
    </row>
    <row r="199" spans="1:4" x14ac:dyDescent="0.3">
      <c r="A199" s="3">
        <v>44940</v>
      </c>
      <c r="B199">
        <f t="shared" si="7"/>
        <v>6</v>
      </c>
      <c r="C199" s="3" t="b">
        <f>+WORKDAY.INTL(A199-1,1,1,Feiertage[[Datum ]])=A199</f>
        <v>0</v>
      </c>
      <c r="D199" t="str">
        <f t="shared" si="8"/>
        <v>Samstag</v>
      </c>
    </row>
    <row r="200" spans="1:4" x14ac:dyDescent="0.3">
      <c r="A200" s="3">
        <v>44941</v>
      </c>
      <c r="B200">
        <f t="shared" si="7"/>
        <v>7</v>
      </c>
      <c r="C200" s="3" t="b">
        <f>+WORKDAY.INTL(A200-1,1,1,Feiertage[[Datum ]])=A200</f>
        <v>0</v>
      </c>
      <c r="D200" t="str">
        <f t="shared" si="8"/>
        <v>Sonntag</v>
      </c>
    </row>
    <row r="201" spans="1:4" x14ac:dyDescent="0.3">
      <c r="A201" s="3">
        <v>44942</v>
      </c>
      <c r="B201">
        <f t="shared" si="7"/>
        <v>1</v>
      </c>
      <c r="C201" s="3" t="b">
        <f>+WORKDAY.INTL(A201-1,1,1,Feiertage[[Datum ]])=A201</f>
        <v>1</v>
      </c>
      <c r="D201" t="str">
        <f t="shared" si="8"/>
        <v>Montag</v>
      </c>
    </row>
    <row r="202" spans="1:4" x14ac:dyDescent="0.3">
      <c r="A202" s="3">
        <v>44943</v>
      </c>
      <c r="B202">
        <f t="shared" si="7"/>
        <v>2</v>
      </c>
      <c r="C202" s="3" t="b">
        <f>+WORKDAY.INTL(A202-1,1,1,Feiertage[[Datum ]])=A202</f>
        <v>1</v>
      </c>
      <c r="D202" t="str">
        <f t="shared" si="8"/>
        <v>Dienstag</v>
      </c>
    </row>
    <row r="203" spans="1:4" x14ac:dyDescent="0.3">
      <c r="A203" s="3">
        <v>44944</v>
      </c>
      <c r="B203">
        <f t="shared" si="7"/>
        <v>3</v>
      </c>
      <c r="C203" s="3" t="b">
        <f>+WORKDAY.INTL(A203-1,1,1,Feiertage[[Datum ]])=A203</f>
        <v>1</v>
      </c>
      <c r="D203" t="str">
        <f t="shared" si="8"/>
        <v>Mittwoch</v>
      </c>
    </row>
    <row r="204" spans="1:4" x14ac:dyDescent="0.3">
      <c r="A204" s="3">
        <v>44945</v>
      </c>
      <c r="B204">
        <f t="shared" si="7"/>
        <v>4</v>
      </c>
      <c r="C204" s="3" t="b">
        <f>+WORKDAY.INTL(A204-1,1,1,Feiertage[[Datum ]])=A204</f>
        <v>1</v>
      </c>
      <c r="D204" t="str">
        <f t="shared" si="8"/>
        <v>Donnerstag</v>
      </c>
    </row>
    <row r="205" spans="1:4" x14ac:dyDescent="0.3">
      <c r="A205" s="3">
        <v>44946</v>
      </c>
      <c r="B205">
        <f t="shared" si="7"/>
        <v>5</v>
      </c>
      <c r="C205" s="3" t="b">
        <f>+WORKDAY.INTL(A205-1,1,1,Feiertage[[Datum ]])=A205</f>
        <v>1</v>
      </c>
      <c r="D205" t="str">
        <f t="shared" si="8"/>
        <v>Freitag</v>
      </c>
    </row>
    <row r="206" spans="1:4" x14ac:dyDescent="0.3">
      <c r="A206" s="3">
        <v>44947</v>
      </c>
      <c r="B206">
        <f t="shared" ref="B206:B269" si="9">+WEEKDAY(A206,2)</f>
        <v>6</v>
      </c>
      <c r="C206" s="3" t="b">
        <f>+WORKDAY.INTL(A206-1,1,1,Feiertage[[Datum ]])=A206</f>
        <v>0</v>
      </c>
      <c r="D206" t="str">
        <f t="shared" si="8"/>
        <v>Samstag</v>
      </c>
    </row>
    <row r="207" spans="1:4" x14ac:dyDescent="0.3">
      <c r="A207" s="3">
        <v>44948</v>
      </c>
      <c r="B207">
        <f t="shared" si="9"/>
        <v>7</v>
      </c>
      <c r="C207" s="3" t="b">
        <f>+WORKDAY.INTL(A207-1,1,1,Feiertage[[Datum ]])=A207</f>
        <v>0</v>
      </c>
      <c r="D207" t="str">
        <f t="shared" si="8"/>
        <v>Sonntag</v>
      </c>
    </row>
    <row r="208" spans="1:4" x14ac:dyDescent="0.3">
      <c r="A208" s="3">
        <v>44949</v>
      </c>
      <c r="B208">
        <f t="shared" si="9"/>
        <v>1</v>
      </c>
      <c r="C208" s="3" t="b">
        <f>+WORKDAY.INTL(A208-1,1,1,Feiertage[[Datum ]])=A208</f>
        <v>1</v>
      </c>
      <c r="D208" t="str">
        <f t="shared" si="8"/>
        <v>Montag</v>
      </c>
    </row>
    <row r="209" spans="1:4" x14ac:dyDescent="0.3">
      <c r="A209" s="3">
        <v>44950</v>
      </c>
      <c r="B209">
        <f t="shared" si="9"/>
        <v>2</v>
      </c>
      <c r="C209" s="3" t="b">
        <f>+WORKDAY.INTL(A209-1,1,1,Feiertage[[Datum ]])=A209</f>
        <v>1</v>
      </c>
      <c r="D209" t="str">
        <f t="shared" si="8"/>
        <v>Dienstag</v>
      </c>
    </row>
    <row r="210" spans="1:4" x14ac:dyDescent="0.3">
      <c r="A210" s="3">
        <v>44951</v>
      </c>
      <c r="B210">
        <f t="shared" si="9"/>
        <v>3</v>
      </c>
      <c r="C210" s="3" t="b">
        <f>+WORKDAY.INTL(A210-1,1,1,Feiertage[[Datum ]])=A210</f>
        <v>1</v>
      </c>
      <c r="D210" t="str">
        <f t="shared" si="8"/>
        <v>Mittwoch</v>
      </c>
    </row>
    <row r="211" spans="1:4" x14ac:dyDescent="0.3">
      <c r="A211" s="3">
        <v>44952</v>
      </c>
      <c r="B211">
        <f t="shared" si="9"/>
        <v>4</v>
      </c>
      <c r="C211" s="3" t="b">
        <f>+WORKDAY.INTL(A211-1,1,1,Feiertage[[Datum ]])=A211</f>
        <v>1</v>
      </c>
      <c r="D211" t="str">
        <f t="shared" si="8"/>
        <v>Donnerstag</v>
      </c>
    </row>
    <row r="212" spans="1:4" x14ac:dyDescent="0.3">
      <c r="A212" s="3">
        <v>44953</v>
      </c>
      <c r="B212">
        <f t="shared" si="9"/>
        <v>5</v>
      </c>
      <c r="C212" s="3" t="b">
        <f>+WORKDAY.INTL(A212-1,1,1,Feiertage[[Datum ]])=A212</f>
        <v>1</v>
      </c>
      <c r="D212" t="str">
        <f t="shared" si="8"/>
        <v>Freitag</v>
      </c>
    </row>
    <row r="213" spans="1:4" x14ac:dyDescent="0.3">
      <c r="A213" s="3">
        <v>44954</v>
      </c>
      <c r="B213">
        <f t="shared" si="9"/>
        <v>6</v>
      </c>
      <c r="C213" s="3" t="b">
        <f>+WORKDAY.INTL(A213-1,1,1,Feiertage[[Datum ]])=A213</f>
        <v>0</v>
      </c>
      <c r="D213" t="str">
        <f t="shared" si="8"/>
        <v>Samstag</v>
      </c>
    </row>
    <row r="214" spans="1:4" x14ac:dyDescent="0.3">
      <c r="A214" s="3">
        <v>44955</v>
      </c>
      <c r="B214">
        <f t="shared" si="9"/>
        <v>7</v>
      </c>
      <c r="C214" s="3" t="b">
        <f>+WORKDAY.INTL(A214-1,1,1,Feiertage[[Datum ]])=A214</f>
        <v>0</v>
      </c>
      <c r="D214" t="str">
        <f t="shared" si="8"/>
        <v>Sonntag</v>
      </c>
    </row>
    <row r="215" spans="1:4" x14ac:dyDescent="0.3">
      <c r="A215" s="3">
        <v>44956</v>
      </c>
      <c r="B215">
        <f t="shared" si="9"/>
        <v>1</v>
      </c>
      <c r="C215" s="3" t="b">
        <f>+WORKDAY.INTL(A215-1,1,1,Feiertage[[Datum ]])=A215</f>
        <v>1</v>
      </c>
      <c r="D215" t="str">
        <f t="shared" si="8"/>
        <v>Montag</v>
      </c>
    </row>
    <row r="216" spans="1:4" x14ac:dyDescent="0.3">
      <c r="A216" s="3">
        <v>44957</v>
      </c>
      <c r="B216">
        <f t="shared" si="9"/>
        <v>2</v>
      </c>
      <c r="C216" s="3" t="b">
        <f>+WORKDAY.INTL(A216-1,1,1,Feiertage[[Datum ]])=A216</f>
        <v>1</v>
      </c>
      <c r="D216" t="str">
        <f t="shared" si="8"/>
        <v>Dienstag</v>
      </c>
    </row>
    <row r="217" spans="1:4" x14ac:dyDescent="0.3">
      <c r="A217" s="3">
        <v>44958</v>
      </c>
      <c r="B217">
        <f t="shared" si="9"/>
        <v>3</v>
      </c>
      <c r="C217" s="3" t="b">
        <f>+WORKDAY.INTL(A217-1,1,1,Feiertage[[Datum ]])=A217</f>
        <v>1</v>
      </c>
      <c r="D217" t="str">
        <f t="shared" si="8"/>
        <v>Mittwoch</v>
      </c>
    </row>
    <row r="218" spans="1:4" x14ac:dyDescent="0.3">
      <c r="A218" s="3">
        <v>44959</v>
      </c>
      <c r="B218">
        <f t="shared" si="9"/>
        <v>4</v>
      </c>
      <c r="C218" s="3" t="b">
        <f>+WORKDAY.INTL(A218-1,1,1,Feiertage[[Datum ]])=A218</f>
        <v>1</v>
      </c>
      <c r="D218" t="str">
        <f t="shared" si="8"/>
        <v>Donnerstag</v>
      </c>
    </row>
    <row r="219" spans="1:4" x14ac:dyDescent="0.3">
      <c r="A219" s="3">
        <v>44960</v>
      </c>
      <c r="B219">
        <f t="shared" si="9"/>
        <v>5</v>
      </c>
      <c r="C219" s="3" t="b">
        <f>+WORKDAY.INTL(A219-1,1,1,Feiertage[[Datum ]])=A219</f>
        <v>1</v>
      </c>
      <c r="D219" t="str">
        <f t="shared" si="8"/>
        <v>Freitag</v>
      </c>
    </row>
    <row r="220" spans="1:4" x14ac:dyDescent="0.3">
      <c r="A220" s="3">
        <v>44961</v>
      </c>
      <c r="B220">
        <f t="shared" si="9"/>
        <v>6</v>
      </c>
      <c r="C220" s="3" t="b">
        <f>+WORKDAY.INTL(A220-1,1,1,Feiertage[[Datum ]])=A220</f>
        <v>0</v>
      </c>
      <c r="D220" t="str">
        <f t="shared" si="8"/>
        <v>Samstag</v>
      </c>
    </row>
    <row r="221" spans="1:4" x14ac:dyDescent="0.3">
      <c r="A221" s="3">
        <v>44962</v>
      </c>
      <c r="B221">
        <f t="shared" si="9"/>
        <v>7</v>
      </c>
      <c r="C221" s="3" t="b">
        <f>+WORKDAY.INTL(A221-1,1,1,Feiertage[[Datum ]])=A221</f>
        <v>0</v>
      </c>
      <c r="D221" t="str">
        <f t="shared" si="8"/>
        <v>Sonntag</v>
      </c>
    </row>
    <row r="222" spans="1:4" x14ac:dyDescent="0.3">
      <c r="A222" s="3">
        <v>44963</v>
      </c>
      <c r="B222">
        <f t="shared" si="9"/>
        <v>1</v>
      </c>
      <c r="C222" s="3" t="b">
        <f>+WORKDAY.INTL(A222-1,1,1,Feiertage[[Datum ]])=A222</f>
        <v>1</v>
      </c>
      <c r="D222" t="str">
        <f t="shared" si="8"/>
        <v>Montag</v>
      </c>
    </row>
    <row r="223" spans="1:4" x14ac:dyDescent="0.3">
      <c r="A223" s="3">
        <v>44964</v>
      </c>
      <c r="B223">
        <f t="shared" si="9"/>
        <v>2</v>
      </c>
      <c r="C223" s="3" t="b">
        <f>+WORKDAY.INTL(A223-1,1,1,Feiertage[[Datum ]])=A223</f>
        <v>1</v>
      </c>
      <c r="D223" t="str">
        <f t="shared" si="8"/>
        <v>Dienstag</v>
      </c>
    </row>
    <row r="224" spans="1:4" x14ac:dyDescent="0.3">
      <c r="A224" s="3">
        <v>44965</v>
      </c>
      <c r="B224">
        <f t="shared" si="9"/>
        <v>3</v>
      </c>
      <c r="C224" s="3" t="b">
        <f>+WORKDAY.INTL(A224-1,1,1,Feiertage[[Datum ]])=A224</f>
        <v>1</v>
      </c>
      <c r="D224" t="str">
        <f t="shared" si="8"/>
        <v>Mittwoch</v>
      </c>
    </row>
    <row r="225" spans="1:4" x14ac:dyDescent="0.3">
      <c r="A225" s="3">
        <v>44966</v>
      </c>
      <c r="B225">
        <f t="shared" si="9"/>
        <v>4</v>
      </c>
      <c r="C225" s="3" t="b">
        <f>+WORKDAY.INTL(A225-1,1,1,Feiertage[[Datum ]])=A225</f>
        <v>1</v>
      </c>
      <c r="D225" t="str">
        <f t="shared" si="8"/>
        <v>Donnerstag</v>
      </c>
    </row>
    <row r="226" spans="1:4" x14ac:dyDescent="0.3">
      <c r="A226" s="3">
        <v>44967</v>
      </c>
      <c r="B226">
        <f t="shared" si="9"/>
        <v>5</v>
      </c>
      <c r="C226" s="3" t="b">
        <f>+WORKDAY.INTL(A226-1,1,1,Feiertage[[Datum ]])=A226</f>
        <v>1</v>
      </c>
      <c r="D226" t="str">
        <f t="shared" si="8"/>
        <v>Freitag</v>
      </c>
    </row>
    <row r="227" spans="1:4" x14ac:dyDescent="0.3">
      <c r="A227" s="3">
        <v>44968</v>
      </c>
      <c r="B227">
        <f t="shared" si="9"/>
        <v>6</v>
      </c>
      <c r="C227" s="3" t="b">
        <f>+WORKDAY.INTL(A227-1,1,1,Feiertage[[Datum ]])=A227</f>
        <v>0</v>
      </c>
      <c r="D227" t="str">
        <f t="shared" si="8"/>
        <v>Samstag</v>
      </c>
    </row>
    <row r="228" spans="1:4" x14ac:dyDescent="0.3">
      <c r="A228" s="3">
        <v>44969</v>
      </c>
      <c r="B228">
        <f t="shared" si="9"/>
        <v>7</v>
      </c>
      <c r="C228" s="3" t="b">
        <f>+WORKDAY.INTL(A228-1,1,1,Feiertage[[Datum ]])=A228</f>
        <v>0</v>
      </c>
      <c r="D228" t="str">
        <f t="shared" si="8"/>
        <v>Sonntag</v>
      </c>
    </row>
    <row r="229" spans="1:4" x14ac:dyDescent="0.3">
      <c r="A229" s="3">
        <v>44970</v>
      </c>
      <c r="B229">
        <f t="shared" si="9"/>
        <v>1</v>
      </c>
      <c r="C229" s="3" t="b">
        <f>+WORKDAY.INTL(A229-1,1,1,Feiertage[[Datum ]])=A229</f>
        <v>1</v>
      </c>
      <c r="D229" t="str">
        <f t="shared" si="8"/>
        <v>Montag</v>
      </c>
    </row>
    <row r="230" spans="1:4" x14ac:dyDescent="0.3">
      <c r="A230" s="3">
        <v>44971</v>
      </c>
      <c r="B230">
        <f t="shared" si="9"/>
        <v>2</v>
      </c>
      <c r="C230" s="3" t="b">
        <f>+WORKDAY.INTL(A230-1,1,1,Feiertage[[Datum ]])=A230</f>
        <v>1</v>
      </c>
      <c r="D230" t="str">
        <f t="shared" si="8"/>
        <v>Dienstag</v>
      </c>
    </row>
    <row r="231" spans="1:4" x14ac:dyDescent="0.3">
      <c r="A231" s="3">
        <v>44972</v>
      </c>
      <c r="B231">
        <f t="shared" si="9"/>
        <v>3</v>
      </c>
      <c r="C231" s="3" t="b">
        <f>+WORKDAY.INTL(A231-1,1,1,Feiertage[[Datum ]])=A231</f>
        <v>1</v>
      </c>
      <c r="D231" t="str">
        <f t="shared" si="8"/>
        <v>Mittwoch</v>
      </c>
    </row>
    <row r="232" spans="1:4" x14ac:dyDescent="0.3">
      <c r="A232" s="3">
        <v>44973</v>
      </c>
      <c r="B232">
        <f t="shared" si="9"/>
        <v>4</v>
      </c>
      <c r="C232" s="3" t="b">
        <f>+WORKDAY.INTL(A232-1,1,1,Feiertage[[Datum ]])=A232</f>
        <v>1</v>
      </c>
      <c r="D232" t="str">
        <f t="shared" si="8"/>
        <v>Donnerstag</v>
      </c>
    </row>
    <row r="233" spans="1:4" x14ac:dyDescent="0.3">
      <c r="A233" s="3">
        <v>44974</v>
      </c>
      <c r="B233">
        <f t="shared" si="9"/>
        <v>5</v>
      </c>
      <c r="C233" s="3" t="b">
        <f>+WORKDAY.INTL(A233-1,1,1,Feiertage[[Datum ]])=A233</f>
        <v>1</v>
      </c>
      <c r="D233" t="str">
        <f t="shared" si="8"/>
        <v>Freitag</v>
      </c>
    </row>
    <row r="234" spans="1:4" x14ac:dyDescent="0.3">
      <c r="A234" s="3">
        <v>44975</v>
      </c>
      <c r="B234">
        <f t="shared" si="9"/>
        <v>6</v>
      </c>
      <c r="C234" s="3" t="b">
        <f>+WORKDAY.INTL(A234-1,1,1,Feiertage[[Datum ]])=A234</f>
        <v>0</v>
      </c>
      <c r="D234" t="str">
        <f t="shared" si="8"/>
        <v>Samstag</v>
      </c>
    </row>
    <row r="235" spans="1:4" x14ac:dyDescent="0.3">
      <c r="A235" s="3">
        <v>44976</v>
      </c>
      <c r="B235">
        <f t="shared" si="9"/>
        <v>7</v>
      </c>
      <c r="C235" s="3" t="b">
        <f>+WORKDAY.INTL(A235-1,1,1,Feiertage[[Datum ]])=A235</f>
        <v>0</v>
      </c>
      <c r="D235" t="str">
        <f t="shared" si="8"/>
        <v>Sonntag</v>
      </c>
    </row>
    <row r="236" spans="1:4" x14ac:dyDescent="0.3">
      <c r="A236" s="3">
        <v>44977</v>
      </c>
      <c r="B236">
        <f t="shared" si="9"/>
        <v>1</v>
      </c>
      <c r="C236" s="3" t="b">
        <f>+WORKDAY.INTL(A236-1,1,1,Feiertage[[Datum ]])=A236</f>
        <v>1</v>
      </c>
      <c r="D236" t="str">
        <f t="shared" si="8"/>
        <v>Montag</v>
      </c>
    </row>
    <row r="237" spans="1:4" x14ac:dyDescent="0.3">
      <c r="A237" s="3">
        <v>44978</v>
      </c>
      <c r="B237">
        <f t="shared" si="9"/>
        <v>2</v>
      </c>
      <c r="C237" s="3" t="b">
        <f>+WORKDAY.INTL(A237-1,1,1,Feiertage[[Datum ]])=A237</f>
        <v>1</v>
      </c>
      <c r="D237" t="str">
        <f t="shared" si="8"/>
        <v>Dienstag</v>
      </c>
    </row>
    <row r="238" spans="1:4" x14ac:dyDescent="0.3">
      <c r="A238" s="3">
        <v>44979</v>
      </c>
      <c r="B238">
        <f t="shared" si="9"/>
        <v>3</v>
      </c>
      <c r="C238" s="3" t="b">
        <f>+WORKDAY.INTL(A238-1,1,1,Feiertage[[Datum ]])=A238</f>
        <v>1</v>
      </c>
      <c r="D238" t="str">
        <f t="shared" si="8"/>
        <v>Mittwoch</v>
      </c>
    </row>
    <row r="239" spans="1:4" x14ac:dyDescent="0.3">
      <c r="A239" s="3">
        <v>44980</v>
      </c>
      <c r="B239">
        <f t="shared" si="9"/>
        <v>4</v>
      </c>
      <c r="C239" s="3" t="b">
        <f>+WORKDAY.INTL(A239-1,1,1,Feiertage[[Datum ]])=A239</f>
        <v>1</v>
      </c>
      <c r="D239" t="str">
        <f t="shared" si="8"/>
        <v>Donnerstag</v>
      </c>
    </row>
    <row r="240" spans="1:4" x14ac:dyDescent="0.3">
      <c r="A240" s="3">
        <v>44981</v>
      </c>
      <c r="B240">
        <f t="shared" si="9"/>
        <v>5</v>
      </c>
      <c r="C240" s="3" t="b">
        <f>+WORKDAY.INTL(A240-1,1,1,Feiertage[[Datum ]])=A240</f>
        <v>1</v>
      </c>
      <c r="D240" t="str">
        <f t="shared" si="8"/>
        <v>Freitag</v>
      </c>
    </row>
    <row r="241" spans="1:4" x14ac:dyDescent="0.3">
      <c r="A241" s="3">
        <v>44982</v>
      </c>
      <c r="B241">
        <f t="shared" si="9"/>
        <v>6</v>
      </c>
      <c r="C241" s="3" t="b">
        <f>+WORKDAY.INTL(A241-1,1,1,Feiertage[[Datum ]])=A241</f>
        <v>0</v>
      </c>
      <c r="D241" t="str">
        <f t="shared" si="8"/>
        <v>Samstag</v>
      </c>
    </row>
    <row r="242" spans="1:4" x14ac:dyDescent="0.3">
      <c r="A242" s="3">
        <v>44983</v>
      </c>
      <c r="B242">
        <f t="shared" si="9"/>
        <v>7</v>
      </c>
      <c r="C242" s="3" t="b">
        <f>+WORKDAY.INTL(A242-1,1,1,Feiertage[[Datum ]])=A242</f>
        <v>0</v>
      </c>
      <c r="D242" t="str">
        <f t="shared" si="8"/>
        <v>Sonntag</v>
      </c>
    </row>
    <row r="243" spans="1:4" x14ac:dyDescent="0.3">
      <c r="A243" s="3">
        <v>44984</v>
      </c>
      <c r="B243">
        <f t="shared" si="9"/>
        <v>1</v>
      </c>
      <c r="C243" s="3" t="b">
        <f>+WORKDAY.INTL(A243-1,1,1,Feiertage[[Datum ]])=A243</f>
        <v>1</v>
      </c>
      <c r="D243" t="str">
        <f t="shared" si="8"/>
        <v>Montag</v>
      </c>
    </row>
    <row r="244" spans="1:4" x14ac:dyDescent="0.3">
      <c r="A244" s="3">
        <v>44985</v>
      </c>
      <c r="B244">
        <f t="shared" si="9"/>
        <v>2</v>
      </c>
      <c r="C244" s="3" t="b">
        <f>+WORKDAY.INTL(A244-1,1,1,Feiertage[[Datum ]])=A244</f>
        <v>1</v>
      </c>
      <c r="D244" t="str">
        <f t="shared" si="8"/>
        <v>Dienstag</v>
      </c>
    </row>
    <row r="245" spans="1:4" x14ac:dyDescent="0.3">
      <c r="A245" s="3">
        <v>44986</v>
      </c>
      <c r="B245">
        <f t="shared" si="9"/>
        <v>3</v>
      </c>
      <c r="C245" s="3" t="b">
        <f>+WORKDAY.INTL(A245-1,1,1,Feiertage[[Datum ]])=A245</f>
        <v>1</v>
      </c>
      <c r="D245" t="str">
        <f t="shared" si="8"/>
        <v>Mittwoch</v>
      </c>
    </row>
    <row r="246" spans="1:4" x14ac:dyDescent="0.3">
      <c r="A246" s="3">
        <v>44987</v>
      </c>
      <c r="B246">
        <f t="shared" si="9"/>
        <v>4</v>
      </c>
      <c r="C246" s="3" t="b">
        <f>+WORKDAY.INTL(A246-1,1,1,Feiertage[[Datum ]])=A246</f>
        <v>1</v>
      </c>
      <c r="D246" t="str">
        <f t="shared" si="8"/>
        <v>Donnerstag</v>
      </c>
    </row>
    <row r="247" spans="1:4" x14ac:dyDescent="0.3">
      <c r="A247" s="3">
        <v>44988</v>
      </c>
      <c r="B247">
        <f t="shared" si="9"/>
        <v>5</v>
      </c>
      <c r="C247" s="3" t="b">
        <f>+WORKDAY.INTL(A247-1,1,1,Feiertage[[Datum ]])=A247</f>
        <v>1</v>
      </c>
      <c r="D247" t="str">
        <f t="shared" si="8"/>
        <v>Freitag</v>
      </c>
    </row>
    <row r="248" spans="1:4" x14ac:dyDescent="0.3">
      <c r="A248" s="3">
        <v>44989</v>
      </c>
      <c r="B248">
        <f t="shared" si="9"/>
        <v>6</v>
      </c>
      <c r="C248" s="3" t="b">
        <f>+WORKDAY.INTL(A248-1,1,1,Feiertage[[Datum ]])=A248</f>
        <v>0</v>
      </c>
      <c r="D248" t="str">
        <f t="shared" si="8"/>
        <v>Samstag</v>
      </c>
    </row>
    <row r="249" spans="1:4" x14ac:dyDescent="0.3">
      <c r="A249" s="3">
        <v>44990</v>
      </c>
      <c r="B249">
        <f t="shared" si="9"/>
        <v>7</v>
      </c>
      <c r="C249" s="3" t="b">
        <f>+WORKDAY.INTL(A249-1,1,1,Feiertage[[Datum ]])=A249</f>
        <v>0</v>
      </c>
      <c r="D249" t="str">
        <f t="shared" si="8"/>
        <v>Sonntag</v>
      </c>
    </row>
    <row r="250" spans="1:4" x14ac:dyDescent="0.3">
      <c r="A250" s="3">
        <v>44991</v>
      </c>
      <c r="B250">
        <f t="shared" si="9"/>
        <v>1</v>
      </c>
      <c r="C250" s="3" t="b">
        <f>+WORKDAY.INTL(A250-1,1,1,Feiertage[[Datum ]])=A250</f>
        <v>1</v>
      </c>
      <c r="D250" t="str">
        <f t="shared" si="8"/>
        <v>Montag</v>
      </c>
    </row>
    <row r="251" spans="1:4" x14ac:dyDescent="0.3">
      <c r="A251" s="3">
        <v>44992</v>
      </c>
      <c r="B251">
        <f t="shared" si="9"/>
        <v>2</v>
      </c>
      <c r="C251" s="3" t="b">
        <f>+WORKDAY.INTL(A251-1,1,1,Feiertage[[Datum ]])=A251</f>
        <v>1</v>
      </c>
      <c r="D251" t="str">
        <f t="shared" si="8"/>
        <v>Dienstag</v>
      </c>
    </row>
    <row r="252" spans="1:4" x14ac:dyDescent="0.3">
      <c r="A252" s="3">
        <v>44993</v>
      </c>
      <c r="B252">
        <f t="shared" si="9"/>
        <v>3</v>
      </c>
      <c r="C252" s="3" t="b">
        <f>+WORKDAY.INTL(A252-1,1,1,Feiertage[[Datum ]])=A252</f>
        <v>1</v>
      </c>
      <c r="D252" t="str">
        <f t="shared" si="8"/>
        <v>Mittwoch</v>
      </c>
    </row>
    <row r="253" spans="1:4" x14ac:dyDescent="0.3">
      <c r="A253" s="3">
        <v>44994</v>
      </c>
      <c r="B253">
        <f t="shared" si="9"/>
        <v>4</v>
      </c>
      <c r="C253" s="3" t="b">
        <f>+WORKDAY.INTL(A253-1,1,1,Feiertage[[Datum ]])=A253</f>
        <v>1</v>
      </c>
      <c r="D253" t="str">
        <f t="shared" si="8"/>
        <v>Donnerstag</v>
      </c>
    </row>
    <row r="254" spans="1:4" x14ac:dyDescent="0.3">
      <c r="A254" s="3">
        <v>44995</v>
      </c>
      <c r="B254">
        <f t="shared" si="9"/>
        <v>5</v>
      </c>
      <c r="C254" s="3" t="b">
        <f>+WORKDAY.INTL(A254-1,1,1,Feiertage[[Datum ]])=A254</f>
        <v>1</v>
      </c>
      <c r="D254" t="str">
        <f t="shared" ref="D254:D317" si="10">+TEXT(A254,"TTTT")</f>
        <v>Freitag</v>
      </c>
    </row>
    <row r="255" spans="1:4" x14ac:dyDescent="0.3">
      <c r="A255" s="3">
        <v>44996</v>
      </c>
      <c r="B255">
        <f t="shared" si="9"/>
        <v>6</v>
      </c>
      <c r="C255" s="3" t="b">
        <f>+WORKDAY.INTL(A255-1,1,1,Feiertage[[Datum ]])=A255</f>
        <v>0</v>
      </c>
      <c r="D255" t="str">
        <f t="shared" si="10"/>
        <v>Samstag</v>
      </c>
    </row>
    <row r="256" spans="1:4" x14ac:dyDescent="0.3">
      <c r="A256" s="3">
        <v>44997</v>
      </c>
      <c r="B256">
        <f t="shared" si="9"/>
        <v>7</v>
      </c>
      <c r="C256" s="3" t="b">
        <f>+WORKDAY.INTL(A256-1,1,1,Feiertage[[Datum ]])=A256</f>
        <v>0</v>
      </c>
      <c r="D256" t="str">
        <f t="shared" si="10"/>
        <v>Sonntag</v>
      </c>
    </row>
    <row r="257" spans="1:4" x14ac:dyDescent="0.3">
      <c r="A257" s="3">
        <v>44998</v>
      </c>
      <c r="B257">
        <f t="shared" si="9"/>
        <v>1</v>
      </c>
      <c r="C257" s="3" t="b">
        <f>+WORKDAY.INTL(A257-1,1,1,Feiertage[[Datum ]])=A257</f>
        <v>1</v>
      </c>
      <c r="D257" t="str">
        <f t="shared" si="10"/>
        <v>Montag</v>
      </c>
    </row>
    <row r="258" spans="1:4" x14ac:dyDescent="0.3">
      <c r="A258" s="3">
        <v>44999</v>
      </c>
      <c r="B258">
        <f t="shared" si="9"/>
        <v>2</v>
      </c>
      <c r="C258" s="3" t="b">
        <f>+WORKDAY.INTL(A258-1,1,1,Feiertage[[Datum ]])=A258</f>
        <v>1</v>
      </c>
      <c r="D258" t="str">
        <f t="shared" si="10"/>
        <v>Dienstag</v>
      </c>
    </row>
    <row r="259" spans="1:4" x14ac:dyDescent="0.3">
      <c r="A259" s="3">
        <v>45000</v>
      </c>
      <c r="B259">
        <f t="shared" si="9"/>
        <v>3</v>
      </c>
      <c r="C259" s="3" t="b">
        <f>+WORKDAY.INTL(A259-1,1,1,Feiertage[[Datum ]])=A259</f>
        <v>1</v>
      </c>
      <c r="D259" t="str">
        <f t="shared" si="10"/>
        <v>Mittwoch</v>
      </c>
    </row>
    <row r="260" spans="1:4" x14ac:dyDescent="0.3">
      <c r="A260" s="3">
        <v>45001</v>
      </c>
      <c r="B260">
        <f t="shared" si="9"/>
        <v>4</v>
      </c>
      <c r="C260" s="3" t="b">
        <f>+WORKDAY.INTL(A260-1,1,1,Feiertage[[Datum ]])=A260</f>
        <v>1</v>
      </c>
      <c r="D260" t="str">
        <f t="shared" si="10"/>
        <v>Donnerstag</v>
      </c>
    </row>
    <row r="261" spans="1:4" x14ac:dyDescent="0.3">
      <c r="A261" s="3">
        <v>45002</v>
      </c>
      <c r="B261">
        <f t="shared" si="9"/>
        <v>5</v>
      </c>
      <c r="C261" s="3" t="b">
        <f>+WORKDAY.INTL(A261-1,1,1,Feiertage[[Datum ]])=A261</f>
        <v>1</v>
      </c>
      <c r="D261" t="str">
        <f t="shared" si="10"/>
        <v>Freitag</v>
      </c>
    </row>
    <row r="262" spans="1:4" x14ac:dyDescent="0.3">
      <c r="A262" s="3">
        <v>45003</v>
      </c>
      <c r="B262">
        <f t="shared" si="9"/>
        <v>6</v>
      </c>
      <c r="C262" s="3" t="b">
        <f>+WORKDAY.INTL(A262-1,1,1,Feiertage[[Datum ]])=A262</f>
        <v>0</v>
      </c>
      <c r="D262" t="str">
        <f t="shared" si="10"/>
        <v>Samstag</v>
      </c>
    </row>
    <row r="263" spans="1:4" x14ac:dyDescent="0.3">
      <c r="A263" s="3">
        <v>45004</v>
      </c>
      <c r="B263">
        <f t="shared" si="9"/>
        <v>7</v>
      </c>
      <c r="C263" s="3" t="b">
        <f>+WORKDAY.INTL(A263-1,1,1,Feiertage[[Datum ]])=A263</f>
        <v>0</v>
      </c>
      <c r="D263" t="str">
        <f t="shared" si="10"/>
        <v>Sonntag</v>
      </c>
    </row>
    <row r="264" spans="1:4" x14ac:dyDescent="0.3">
      <c r="A264" s="3">
        <v>45005</v>
      </c>
      <c r="B264">
        <f t="shared" si="9"/>
        <v>1</v>
      </c>
      <c r="C264" s="3" t="b">
        <f>+WORKDAY.INTL(A264-1,1,1,Feiertage[[Datum ]])=A264</f>
        <v>1</v>
      </c>
      <c r="D264" t="str">
        <f t="shared" si="10"/>
        <v>Montag</v>
      </c>
    </row>
    <row r="265" spans="1:4" x14ac:dyDescent="0.3">
      <c r="A265" s="3">
        <v>45006</v>
      </c>
      <c r="B265">
        <f t="shared" si="9"/>
        <v>2</v>
      </c>
      <c r="C265" s="3" t="b">
        <f>+WORKDAY.INTL(A265-1,1,1,Feiertage[[Datum ]])=A265</f>
        <v>1</v>
      </c>
      <c r="D265" t="str">
        <f t="shared" si="10"/>
        <v>Dienstag</v>
      </c>
    </row>
    <row r="266" spans="1:4" x14ac:dyDescent="0.3">
      <c r="A266" s="3">
        <v>45007</v>
      </c>
      <c r="B266">
        <f t="shared" si="9"/>
        <v>3</v>
      </c>
      <c r="C266" s="3" t="b">
        <f>+WORKDAY.INTL(A266-1,1,1,Feiertage[[Datum ]])=A266</f>
        <v>1</v>
      </c>
      <c r="D266" t="str">
        <f t="shared" si="10"/>
        <v>Mittwoch</v>
      </c>
    </row>
    <row r="267" spans="1:4" x14ac:dyDescent="0.3">
      <c r="A267" s="3">
        <v>45008</v>
      </c>
      <c r="B267">
        <f t="shared" si="9"/>
        <v>4</v>
      </c>
      <c r="C267" s="3" t="b">
        <f>+WORKDAY.INTL(A267-1,1,1,Feiertage[[Datum ]])=A267</f>
        <v>1</v>
      </c>
      <c r="D267" t="str">
        <f t="shared" si="10"/>
        <v>Donnerstag</v>
      </c>
    </row>
    <row r="268" spans="1:4" x14ac:dyDescent="0.3">
      <c r="A268" s="3">
        <v>45009</v>
      </c>
      <c r="B268">
        <f t="shared" si="9"/>
        <v>5</v>
      </c>
      <c r="C268" s="3" t="b">
        <f>+WORKDAY.INTL(A268-1,1,1,Feiertage[[Datum ]])=A268</f>
        <v>1</v>
      </c>
      <c r="D268" t="str">
        <f t="shared" si="10"/>
        <v>Freitag</v>
      </c>
    </row>
    <row r="269" spans="1:4" x14ac:dyDescent="0.3">
      <c r="A269" s="3">
        <v>45010</v>
      </c>
      <c r="B269">
        <f t="shared" si="9"/>
        <v>6</v>
      </c>
      <c r="C269" s="3" t="b">
        <f>+WORKDAY.INTL(A269-1,1,1,Feiertage[[Datum ]])=A269</f>
        <v>0</v>
      </c>
      <c r="D269" t="str">
        <f t="shared" si="10"/>
        <v>Samstag</v>
      </c>
    </row>
    <row r="270" spans="1:4" x14ac:dyDescent="0.3">
      <c r="A270" s="3">
        <v>45011</v>
      </c>
      <c r="B270">
        <f t="shared" ref="B270:B333" si="11">+WEEKDAY(A270,2)</f>
        <v>7</v>
      </c>
      <c r="C270" s="3" t="b">
        <f>+WORKDAY.INTL(A270-1,1,1,Feiertage[[Datum ]])=A270</f>
        <v>0</v>
      </c>
      <c r="D270" t="str">
        <f t="shared" si="10"/>
        <v>Sonntag</v>
      </c>
    </row>
    <row r="271" spans="1:4" x14ac:dyDescent="0.3">
      <c r="A271" s="3">
        <v>45012</v>
      </c>
      <c r="B271">
        <f t="shared" si="11"/>
        <v>1</v>
      </c>
      <c r="C271" s="3" t="b">
        <f>+WORKDAY.INTL(A271-1,1,1,Feiertage[[Datum ]])=A271</f>
        <v>1</v>
      </c>
      <c r="D271" t="str">
        <f t="shared" si="10"/>
        <v>Montag</v>
      </c>
    </row>
    <row r="272" spans="1:4" x14ac:dyDescent="0.3">
      <c r="A272" s="3">
        <v>45013</v>
      </c>
      <c r="B272">
        <f t="shared" si="11"/>
        <v>2</v>
      </c>
      <c r="C272" s="3" t="b">
        <f>+WORKDAY.INTL(A272-1,1,1,Feiertage[[Datum ]])=A272</f>
        <v>1</v>
      </c>
      <c r="D272" t="str">
        <f t="shared" si="10"/>
        <v>Dienstag</v>
      </c>
    </row>
    <row r="273" spans="1:4" x14ac:dyDescent="0.3">
      <c r="A273" s="3">
        <v>45014</v>
      </c>
      <c r="B273">
        <f t="shared" si="11"/>
        <v>3</v>
      </c>
      <c r="C273" s="3" t="b">
        <f>+WORKDAY.INTL(A273-1,1,1,Feiertage[[Datum ]])=A273</f>
        <v>1</v>
      </c>
      <c r="D273" t="str">
        <f t="shared" si="10"/>
        <v>Mittwoch</v>
      </c>
    </row>
    <row r="274" spans="1:4" x14ac:dyDescent="0.3">
      <c r="A274" s="3">
        <v>45015</v>
      </c>
      <c r="B274">
        <f t="shared" si="11"/>
        <v>4</v>
      </c>
      <c r="C274" s="3" t="b">
        <f>+WORKDAY.INTL(A274-1,1,1,Feiertage[[Datum ]])=A274</f>
        <v>1</v>
      </c>
      <c r="D274" t="str">
        <f t="shared" si="10"/>
        <v>Donnerstag</v>
      </c>
    </row>
    <row r="275" spans="1:4" x14ac:dyDescent="0.3">
      <c r="A275" s="3">
        <v>45016</v>
      </c>
      <c r="B275">
        <f t="shared" si="11"/>
        <v>5</v>
      </c>
      <c r="C275" s="3" t="b">
        <f>+WORKDAY.INTL(A275-1,1,1,Feiertage[[Datum ]])=A275</f>
        <v>1</v>
      </c>
      <c r="D275" t="str">
        <f t="shared" si="10"/>
        <v>Freitag</v>
      </c>
    </row>
    <row r="276" spans="1:4" x14ac:dyDescent="0.3">
      <c r="A276" s="3">
        <v>45017</v>
      </c>
      <c r="B276">
        <f t="shared" si="11"/>
        <v>6</v>
      </c>
      <c r="C276" s="3" t="b">
        <f>+WORKDAY.INTL(A276-1,1,1,Feiertage[[Datum ]])=A276</f>
        <v>0</v>
      </c>
      <c r="D276" t="str">
        <f t="shared" si="10"/>
        <v>Samstag</v>
      </c>
    </row>
    <row r="277" spans="1:4" x14ac:dyDescent="0.3">
      <c r="A277" s="3">
        <v>45018</v>
      </c>
      <c r="B277">
        <f t="shared" si="11"/>
        <v>7</v>
      </c>
      <c r="C277" s="3" t="b">
        <f>+WORKDAY.INTL(A277-1,1,1,Feiertage[[Datum ]])=A277</f>
        <v>0</v>
      </c>
      <c r="D277" t="str">
        <f t="shared" si="10"/>
        <v>Sonntag</v>
      </c>
    </row>
    <row r="278" spans="1:4" x14ac:dyDescent="0.3">
      <c r="A278" s="3">
        <v>45019</v>
      </c>
      <c r="B278">
        <f t="shared" si="11"/>
        <v>1</v>
      </c>
      <c r="C278" s="3" t="b">
        <f>+WORKDAY.INTL(A278-1,1,1,Feiertage[[Datum ]])=A278</f>
        <v>1</v>
      </c>
      <c r="D278" t="str">
        <f t="shared" si="10"/>
        <v>Montag</v>
      </c>
    </row>
    <row r="279" spans="1:4" x14ac:dyDescent="0.3">
      <c r="A279" s="3">
        <v>45020</v>
      </c>
      <c r="B279">
        <f t="shared" si="11"/>
        <v>2</v>
      </c>
      <c r="C279" s="3" t="b">
        <f>+WORKDAY.INTL(A279-1,1,1,Feiertage[[Datum ]])=A279</f>
        <v>1</v>
      </c>
      <c r="D279" t="str">
        <f t="shared" si="10"/>
        <v>Dienstag</v>
      </c>
    </row>
    <row r="280" spans="1:4" x14ac:dyDescent="0.3">
      <c r="A280" s="3">
        <v>45021</v>
      </c>
      <c r="B280">
        <f t="shared" si="11"/>
        <v>3</v>
      </c>
      <c r="C280" s="3" t="b">
        <f>+WORKDAY.INTL(A280-1,1,1,Feiertage[[Datum ]])=A280</f>
        <v>1</v>
      </c>
      <c r="D280" t="str">
        <f t="shared" si="10"/>
        <v>Mittwoch</v>
      </c>
    </row>
    <row r="281" spans="1:4" x14ac:dyDescent="0.3">
      <c r="A281" s="3">
        <v>45022</v>
      </c>
      <c r="B281">
        <f t="shared" si="11"/>
        <v>4</v>
      </c>
      <c r="C281" s="3" t="b">
        <f>+WORKDAY.INTL(A281-1,1,1,Feiertage[[Datum ]])=A281</f>
        <v>1</v>
      </c>
      <c r="D281" t="str">
        <f t="shared" si="10"/>
        <v>Donnerstag</v>
      </c>
    </row>
    <row r="282" spans="1:4" x14ac:dyDescent="0.3">
      <c r="A282" s="3">
        <v>45023</v>
      </c>
      <c r="B282">
        <f t="shared" si="11"/>
        <v>5</v>
      </c>
      <c r="C282" s="3" t="b">
        <f>+WORKDAY.INTL(A282-1,1,1,Feiertage[[Datum ]])=A282</f>
        <v>0</v>
      </c>
      <c r="D282" t="str">
        <f t="shared" si="10"/>
        <v>Freitag</v>
      </c>
    </row>
    <row r="283" spans="1:4" x14ac:dyDescent="0.3">
      <c r="A283" s="3">
        <v>45024</v>
      </c>
      <c r="B283">
        <f t="shared" si="11"/>
        <v>6</v>
      </c>
      <c r="C283" s="3" t="b">
        <f>+WORKDAY.INTL(A283-1,1,1,Feiertage[[Datum ]])=A283</f>
        <v>0</v>
      </c>
      <c r="D283" t="str">
        <f t="shared" si="10"/>
        <v>Samstag</v>
      </c>
    </row>
    <row r="284" spans="1:4" x14ac:dyDescent="0.3">
      <c r="A284" s="3">
        <v>45025</v>
      </c>
      <c r="B284">
        <f t="shared" si="11"/>
        <v>7</v>
      </c>
      <c r="C284" s="3" t="b">
        <f>+WORKDAY.INTL(A284-1,1,1,Feiertage[[Datum ]])=A284</f>
        <v>0</v>
      </c>
      <c r="D284" t="str">
        <f t="shared" si="10"/>
        <v>Sonntag</v>
      </c>
    </row>
    <row r="285" spans="1:4" x14ac:dyDescent="0.3">
      <c r="A285" s="3">
        <v>45026</v>
      </c>
      <c r="B285">
        <f t="shared" si="11"/>
        <v>1</v>
      </c>
      <c r="C285" s="3" t="b">
        <f>+WORKDAY.INTL(A285-1,1,1,Feiertage[[Datum ]])=A285</f>
        <v>0</v>
      </c>
      <c r="D285" t="str">
        <f t="shared" si="10"/>
        <v>Montag</v>
      </c>
    </row>
    <row r="286" spans="1:4" x14ac:dyDescent="0.3">
      <c r="A286" s="3">
        <v>45027</v>
      </c>
      <c r="B286">
        <f t="shared" si="11"/>
        <v>2</v>
      </c>
      <c r="C286" s="3" t="b">
        <f>+WORKDAY.INTL(A286-1,1,1,Feiertage[[Datum ]])=A286</f>
        <v>1</v>
      </c>
      <c r="D286" t="str">
        <f t="shared" si="10"/>
        <v>Dienstag</v>
      </c>
    </row>
    <row r="287" spans="1:4" x14ac:dyDescent="0.3">
      <c r="A287" s="3">
        <v>45028</v>
      </c>
      <c r="B287">
        <f t="shared" si="11"/>
        <v>3</v>
      </c>
      <c r="C287" s="3" t="b">
        <f>+WORKDAY.INTL(A287-1,1,1,Feiertage[[Datum ]])=A287</f>
        <v>1</v>
      </c>
      <c r="D287" t="str">
        <f t="shared" si="10"/>
        <v>Mittwoch</v>
      </c>
    </row>
    <row r="288" spans="1:4" x14ac:dyDescent="0.3">
      <c r="A288" s="3">
        <v>45029</v>
      </c>
      <c r="B288">
        <f t="shared" si="11"/>
        <v>4</v>
      </c>
      <c r="C288" s="3" t="b">
        <f>+WORKDAY.INTL(A288-1,1,1,Feiertage[[Datum ]])=A288</f>
        <v>1</v>
      </c>
      <c r="D288" t="str">
        <f t="shared" si="10"/>
        <v>Donnerstag</v>
      </c>
    </row>
    <row r="289" spans="1:4" x14ac:dyDescent="0.3">
      <c r="A289" s="3">
        <v>45030</v>
      </c>
      <c r="B289">
        <f t="shared" si="11"/>
        <v>5</v>
      </c>
      <c r="C289" s="3" t="b">
        <f>+WORKDAY.INTL(A289-1,1,1,Feiertage[[Datum ]])=A289</f>
        <v>1</v>
      </c>
      <c r="D289" t="str">
        <f t="shared" si="10"/>
        <v>Freitag</v>
      </c>
    </row>
    <row r="290" spans="1:4" x14ac:dyDescent="0.3">
      <c r="A290" s="3">
        <v>45031</v>
      </c>
      <c r="B290">
        <f t="shared" si="11"/>
        <v>6</v>
      </c>
      <c r="C290" s="3" t="b">
        <f>+WORKDAY.INTL(A290-1,1,1,Feiertage[[Datum ]])=A290</f>
        <v>0</v>
      </c>
      <c r="D290" t="str">
        <f t="shared" si="10"/>
        <v>Samstag</v>
      </c>
    </row>
    <row r="291" spans="1:4" x14ac:dyDescent="0.3">
      <c r="A291" s="3">
        <v>45032</v>
      </c>
      <c r="B291">
        <f t="shared" si="11"/>
        <v>7</v>
      </c>
      <c r="C291" s="3" t="b">
        <f>+WORKDAY.INTL(A291-1,1,1,Feiertage[[Datum ]])=A291</f>
        <v>0</v>
      </c>
      <c r="D291" t="str">
        <f t="shared" si="10"/>
        <v>Sonntag</v>
      </c>
    </row>
    <row r="292" spans="1:4" x14ac:dyDescent="0.3">
      <c r="A292" s="3">
        <v>45033</v>
      </c>
      <c r="B292">
        <f t="shared" si="11"/>
        <v>1</v>
      </c>
      <c r="C292" s="3" t="b">
        <f>+WORKDAY.INTL(A292-1,1,1,Feiertage[[Datum ]])=A292</f>
        <v>1</v>
      </c>
      <c r="D292" t="str">
        <f t="shared" si="10"/>
        <v>Montag</v>
      </c>
    </row>
    <row r="293" spans="1:4" x14ac:dyDescent="0.3">
      <c r="A293" s="3">
        <v>45034</v>
      </c>
      <c r="B293">
        <f t="shared" si="11"/>
        <v>2</v>
      </c>
      <c r="C293" s="3" t="b">
        <f>+WORKDAY.INTL(A293-1,1,1,Feiertage[[Datum ]])=A293</f>
        <v>1</v>
      </c>
      <c r="D293" t="str">
        <f t="shared" si="10"/>
        <v>Dienstag</v>
      </c>
    </row>
    <row r="294" spans="1:4" x14ac:dyDescent="0.3">
      <c r="A294" s="3">
        <v>45035</v>
      </c>
      <c r="B294">
        <f t="shared" si="11"/>
        <v>3</v>
      </c>
      <c r="C294" s="3" t="b">
        <f>+WORKDAY.INTL(A294-1,1,1,Feiertage[[Datum ]])=A294</f>
        <v>1</v>
      </c>
      <c r="D294" t="str">
        <f t="shared" si="10"/>
        <v>Mittwoch</v>
      </c>
    </row>
    <row r="295" spans="1:4" x14ac:dyDescent="0.3">
      <c r="A295" s="3">
        <v>45036</v>
      </c>
      <c r="B295">
        <f t="shared" si="11"/>
        <v>4</v>
      </c>
      <c r="C295" s="3" t="b">
        <f>+WORKDAY.INTL(A295-1,1,1,Feiertage[[Datum ]])=A295</f>
        <v>1</v>
      </c>
      <c r="D295" t="str">
        <f t="shared" si="10"/>
        <v>Donnerstag</v>
      </c>
    </row>
    <row r="296" spans="1:4" x14ac:dyDescent="0.3">
      <c r="A296" s="3">
        <v>45037</v>
      </c>
      <c r="B296">
        <f t="shared" si="11"/>
        <v>5</v>
      </c>
      <c r="C296" s="3" t="b">
        <f>+WORKDAY.INTL(A296-1,1,1,Feiertage[[Datum ]])=A296</f>
        <v>1</v>
      </c>
      <c r="D296" t="str">
        <f t="shared" si="10"/>
        <v>Freitag</v>
      </c>
    </row>
    <row r="297" spans="1:4" x14ac:dyDescent="0.3">
      <c r="A297" s="3">
        <v>45038</v>
      </c>
      <c r="B297">
        <f t="shared" si="11"/>
        <v>6</v>
      </c>
      <c r="C297" s="3" t="b">
        <f>+WORKDAY.INTL(A297-1,1,1,Feiertage[[Datum ]])=A297</f>
        <v>0</v>
      </c>
      <c r="D297" t="str">
        <f t="shared" si="10"/>
        <v>Samstag</v>
      </c>
    </row>
    <row r="298" spans="1:4" x14ac:dyDescent="0.3">
      <c r="A298" s="3">
        <v>45039</v>
      </c>
      <c r="B298">
        <f t="shared" si="11"/>
        <v>7</v>
      </c>
      <c r="C298" s="3" t="b">
        <f>+WORKDAY.INTL(A298-1,1,1,Feiertage[[Datum ]])=A298</f>
        <v>0</v>
      </c>
      <c r="D298" t="str">
        <f t="shared" si="10"/>
        <v>Sonntag</v>
      </c>
    </row>
    <row r="299" spans="1:4" x14ac:dyDescent="0.3">
      <c r="A299" s="3">
        <v>45040</v>
      </c>
      <c r="B299">
        <f t="shared" si="11"/>
        <v>1</v>
      </c>
      <c r="C299" s="3" t="b">
        <f>+WORKDAY.INTL(A299-1,1,1,Feiertage[[Datum ]])=A299</f>
        <v>1</v>
      </c>
      <c r="D299" t="str">
        <f t="shared" si="10"/>
        <v>Montag</v>
      </c>
    </row>
    <row r="300" spans="1:4" x14ac:dyDescent="0.3">
      <c r="A300" s="3">
        <v>45041</v>
      </c>
      <c r="B300">
        <f t="shared" si="11"/>
        <v>2</v>
      </c>
      <c r="C300" s="3" t="b">
        <f>+WORKDAY.INTL(A300-1,1,1,Feiertage[[Datum ]])=A300</f>
        <v>1</v>
      </c>
      <c r="D300" t="str">
        <f t="shared" si="10"/>
        <v>Dienstag</v>
      </c>
    </row>
    <row r="301" spans="1:4" x14ac:dyDescent="0.3">
      <c r="A301" s="3">
        <v>45042</v>
      </c>
      <c r="B301">
        <f t="shared" si="11"/>
        <v>3</v>
      </c>
      <c r="C301" s="3" t="b">
        <f>+WORKDAY.INTL(A301-1,1,1,Feiertage[[Datum ]])=A301</f>
        <v>1</v>
      </c>
      <c r="D301" t="str">
        <f t="shared" si="10"/>
        <v>Mittwoch</v>
      </c>
    </row>
    <row r="302" spans="1:4" x14ac:dyDescent="0.3">
      <c r="A302" s="3">
        <v>45043</v>
      </c>
      <c r="B302">
        <f t="shared" si="11"/>
        <v>4</v>
      </c>
      <c r="C302" s="3" t="b">
        <f>+WORKDAY.INTL(A302-1,1,1,Feiertage[[Datum ]])=A302</f>
        <v>1</v>
      </c>
      <c r="D302" t="str">
        <f t="shared" si="10"/>
        <v>Donnerstag</v>
      </c>
    </row>
    <row r="303" spans="1:4" x14ac:dyDescent="0.3">
      <c r="A303" s="3">
        <v>45044</v>
      </c>
      <c r="B303">
        <f t="shared" si="11"/>
        <v>5</v>
      </c>
      <c r="C303" s="3" t="b">
        <f>+WORKDAY.INTL(A303-1,1,1,Feiertage[[Datum ]])=A303</f>
        <v>1</v>
      </c>
      <c r="D303" t="str">
        <f t="shared" si="10"/>
        <v>Freitag</v>
      </c>
    </row>
    <row r="304" spans="1:4" x14ac:dyDescent="0.3">
      <c r="A304" s="3">
        <v>45045</v>
      </c>
      <c r="B304">
        <f t="shared" si="11"/>
        <v>6</v>
      </c>
      <c r="C304" s="3" t="b">
        <f>+WORKDAY.INTL(A304-1,1,1,Feiertage[[Datum ]])=A304</f>
        <v>0</v>
      </c>
      <c r="D304" t="str">
        <f t="shared" si="10"/>
        <v>Samstag</v>
      </c>
    </row>
    <row r="305" spans="1:4" x14ac:dyDescent="0.3">
      <c r="A305" s="3">
        <v>45046</v>
      </c>
      <c r="B305">
        <f t="shared" si="11"/>
        <v>7</v>
      </c>
      <c r="C305" s="3" t="b">
        <f>+WORKDAY.INTL(A305-1,1,1,Feiertage[[Datum ]])=A305</f>
        <v>0</v>
      </c>
      <c r="D305" t="str">
        <f t="shared" si="10"/>
        <v>Sonntag</v>
      </c>
    </row>
    <row r="306" spans="1:4" x14ac:dyDescent="0.3">
      <c r="A306" s="3">
        <v>45047</v>
      </c>
      <c r="B306">
        <f t="shared" si="11"/>
        <v>1</v>
      </c>
      <c r="C306" s="3" t="b">
        <f>+WORKDAY.INTL(A306-1,1,1,Feiertage[[Datum ]])=A306</f>
        <v>0</v>
      </c>
      <c r="D306" t="str">
        <f t="shared" si="10"/>
        <v>Montag</v>
      </c>
    </row>
    <row r="307" spans="1:4" x14ac:dyDescent="0.3">
      <c r="A307" s="3">
        <v>45048</v>
      </c>
      <c r="B307">
        <f t="shared" si="11"/>
        <v>2</v>
      </c>
      <c r="C307" s="3" t="b">
        <f>+WORKDAY.INTL(A307-1,1,1,Feiertage[[Datum ]])=A307</f>
        <v>1</v>
      </c>
      <c r="D307" t="str">
        <f t="shared" si="10"/>
        <v>Dienstag</v>
      </c>
    </row>
    <row r="308" spans="1:4" x14ac:dyDescent="0.3">
      <c r="A308" s="3">
        <v>45049</v>
      </c>
      <c r="B308">
        <f t="shared" si="11"/>
        <v>3</v>
      </c>
      <c r="C308" s="3" t="b">
        <f>+WORKDAY.INTL(A308-1,1,1,Feiertage[[Datum ]])=A308</f>
        <v>1</v>
      </c>
      <c r="D308" t="str">
        <f t="shared" si="10"/>
        <v>Mittwoch</v>
      </c>
    </row>
    <row r="309" spans="1:4" x14ac:dyDescent="0.3">
      <c r="A309" s="3">
        <v>45050</v>
      </c>
      <c r="B309">
        <f t="shared" si="11"/>
        <v>4</v>
      </c>
      <c r="C309" s="3" t="b">
        <f>+WORKDAY.INTL(A309-1,1,1,Feiertage[[Datum ]])=A309</f>
        <v>1</v>
      </c>
      <c r="D309" t="str">
        <f t="shared" si="10"/>
        <v>Donnerstag</v>
      </c>
    </row>
    <row r="310" spans="1:4" x14ac:dyDescent="0.3">
      <c r="A310" s="3">
        <v>45051</v>
      </c>
      <c r="B310">
        <f t="shared" si="11"/>
        <v>5</v>
      </c>
      <c r="C310" s="3" t="b">
        <f>+WORKDAY.INTL(A310-1,1,1,Feiertage[[Datum ]])=A310</f>
        <v>1</v>
      </c>
      <c r="D310" t="str">
        <f t="shared" si="10"/>
        <v>Freitag</v>
      </c>
    </row>
    <row r="311" spans="1:4" x14ac:dyDescent="0.3">
      <c r="A311" s="3">
        <v>45052</v>
      </c>
      <c r="B311">
        <f t="shared" si="11"/>
        <v>6</v>
      </c>
      <c r="C311" s="3" t="b">
        <f>+WORKDAY.INTL(A311-1,1,1,Feiertage[[Datum ]])=A311</f>
        <v>0</v>
      </c>
      <c r="D311" t="str">
        <f t="shared" si="10"/>
        <v>Samstag</v>
      </c>
    </row>
    <row r="312" spans="1:4" x14ac:dyDescent="0.3">
      <c r="A312" s="3">
        <v>45053</v>
      </c>
      <c r="B312">
        <f t="shared" si="11"/>
        <v>7</v>
      </c>
      <c r="C312" s="3" t="b">
        <f>+WORKDAY.INTL(A312-1,1,1,Feiertage[[Datum ]])=A312</f>
        <v>0</v>
      </c>
      <c r="D312" t="str">
        <f t="shared" si="10"/>
        <v>Sonntag</v>
      </c>
    </row>
    <row r="313" spans="1:4" x14ac:dyDescent="0.3">
      <c r="A313" s="3">
        <v>45054</v>
      </c>
      <c r="B313">
        <f t="shared" si="11"/>
        <v>1</v>
      </c>
      <c r="C313" s="3" t="b">
        <f>+WORKDAY.INTL(A313-1,1,1,Feiertage[[Datum ]])=A313</f>
        <v>1</v>
      </c>
      <c r="D313" t="str">
        <f t="shared" si="10"/>
        <v>Montag</v>
      </c>
    </row>
    <row r="314" spans="1:4" x14ac:dyDescent="0.3">
      <c r="A314" s="3">
        <v>45055</v>
      </c>
      <c r="B314">
        <f t="shared" si="11"/>
        <v>2</v>
      </c>
      <c r="C314" s="3" t="b">
        <f>+WORKDAY.INTL(A314-1,1,1,Feiertage[[Datum ]])=A314</f>
        <v>1</v>
      </c>
      <c r="D314" t="str">
        <f t="shared" si="10"/>
        <v>Dienstag</v>
      </c>
    </row>
    <row r="315" spans="1:4" x14ac:dyDescent="0.3">
      <c r="A315" s="3">
        <v>45056</v>
      </c>
      <c r="B315">
        <f t="shared" si="11"/>
        <v>3</v>
      </c>
      <c r="C315" s="3" t="b">
        <f>+WORKDAY.INTL(A315-1,1,1,Feiertage[[Datum ]])=A315</f>
        <v>1</v>
      </c>
      <c r="D315" t="str">
        <f t="shared" si="10"/>
        <v>Mittwoch</v>
      </c>
    </row>
    <row r="316" spans="1:4" x14ac:dyDescent="0.3">
      <c r="A316" s="3">
        <v>45057</v>
      </c>
      <c r="B316">
        <f t="shared" si="11"/>
        <v>4</v>
      </c>
      <c r="C316" s="3" t="b">
        <f>+WORKDAY.INTL(A316-1,1,1,Feiertage[[Datum ]])=A316</f>
        <v>1</v>
      </c>
      <c r="D316" t="str">
        <f t="shared" si="10"/>
        <v>Donnerstag</v>
      </c>
    </row>
    <row r="317" spans="1:4" x14ac:dyDescent="0.3">
      <c r="A317" s="3">
        <v>45058</v>
      </c>
      <c r="B317">
        <f t="shared" si="11"/>
        <v>5</v>
      </c>
      <c r="C317" s="3" t="b">
        <f>+WORKDAY.INTL(A317-1,1,1,Feiertage[[Datum ]])=A317</f>
        <v>1</v>
      </c>
      <c r="D317" t="str">
        <f t="shared" si="10"/>
        <v>Freitag</v>
      </c>
    </row>
    <row r="318" spans="1:4" x14ac:dyDescent="0.3">
      <c r="A318" s="3">
        <v>45059</v>
      </c>
      <c r="B318">
        <f t="shared" si="11"/>
        <v>6</v>
      </c>
      <c r="C318" s="3" t="b">
        <f>+WORKDAY.INTL(A318-1,1,1,Feiertage[[Datum ]])=A318</f>
        <v>0</v>
      </c>
      <c r="D318" t="str">
        <f t="shared" ref="D318:D366" si="12">+TEXT(A318,"TTTT")</f>
        <v>Samstag</v>
      </c>
    </row>
    <row r="319" spans="1:4" x14ac:dyDescent="0.3">
      <c r="A319" s="3">
        <v>45060</v>
      </c>
      <c r="B319">
        <f t="shared" si="11"/>
        <v>7</v>
      </c>
      <c r="C319" s="3" t="b">
        <f>+WORKDAY.INTL(A319-1,1,1,Feiertage[[Datum ]])=A319</f>
        <v>0</v>
      </c>
      <c r="D319" t="str">
        <f t="shared" si="12"/>
        <v>Sonntag</v>
      </c>
    </row>
    <row r="320" spans="1:4" x14ac:dyDescent="0.3">
      <c r="A320" s="3">
        <v>45061</v>
      </c>
      <c r="B320">
        <f t="shared" si="11"/>
        <v>1</v>
      </c>
      <c r="C320" s="3" t="b">
        <f>+WORKDAY.INTL(A320-1,1,1,Feiertage[[Datum ]])=A320</f>
        <v>1</v>
      </c>
      <c r="D320" t="str">
        <f t="shared" si="12"/>
        <v>Montag</v>
      </c>
    </row>
    <row r="321" spans="1:4" x14ac:dyDescent="0.3">
      <c r="A321" s="3">
        <v>45062</v>
      </c>
      <c r="B321">
        <f t="shared" si="11"/>
        <v>2</v>
      </c>
      <c r="C321" s="3" t="b">
        <f>+WORKDAY.INTL(A321-1,1,1,Feiertage[[Datum ]])=A321</f>
        <v>1</v>
      </c>
      <c r="D321" t="str">
        <f t="shared" si="12"/>
        <v>Dienstag</v>
      </c>
    </row>
    <row r="322" spans="1:4" x14ac:dyDescent="0.3">
      <c r="A322" s="3">
        <v>45063</v>
      </c>
      <c r="B322">
        <f t="shared" si="11"/>
        <v>3</v>
      </c>
      <c r="C322" s="3" t="b">
        <f>+WORKDAY.INTL(A322-1,1,1,Feiertage[[Datum ]])=A322</f>
        <v>1</v>
      </c>
      <c r="D322" t="str">
        <f t="shared" si="12"/>
        <v>Mittwoch</v>
      </c>
    </row>
    <row r="323" spans="1:4" x14ac:dyDescent="0.3">
      <c r="A323" s="3">
        <v>45064</v>
      </c>
      <c r="B323">
        <f t="shared" si="11"/>
        <v>4</v>
      </c>
      <c r="C323" s="3" t="b">
        <f>+WORKDAY.INTL(A323-1,1,1,Feiertage[[Datum ]])=A323</f>
        <v>0</v>
      </c>
      <c r="D323" t="str">
        <f t="shared" si="12"/>
        <v>Donnerstag</v>
      </c>
    </row>
    <row r="324" spans="1:4" x14ac:dyDescent="0.3">
      <c r="A324" s="3">
        <v>45065</v>
      </c>
      <c r="B324">
        <f t="shared" si="11"/>
        <v>5</v>
      </c>
      <c r="C324" s="3" t="b">
        <f>+WORKDAY.INTL(A324-1,1,1,Feiertage[[Datum ]])=A324</f>
        <v>1</v>
      </c>
      <c r="D324" t="str">
        <f t="shared" si="12"/>
        <v>Freitag</v>
      </c>
    </row>
    <row r="325" spans="1:4" x14ac:dyDescent="0.3">
      <c r="A325" s="3">
        <v>45066</v>
      </c>
      <c r="B325">
        <f t="shared" si="11"/>
        <v>6</v>
      </c>
      <c r="C325" s="3" t="b">
        <f>+WORKDAY.INTL(A325-1,1,1,Feiertage[[Datum ]])=A325</f>
        <v>0</v>
      </c>
      <c r="D325" t="str">
        <f t="shared" si="12"/>
        <v>Samstag</v>
      </c>
    </row>
    <row r="326" spans="1:4" x14ac:dyDescent="0.3">
      <c r="A326" s="3">
        <v>45067</v>
      </c>
      <c r="B326">
        <f t="shared" si="11"/>
        <v>7</v>
      </c>
      <c r="C326" s="3" t="b">
        <f>+WORKDAY.INTL(A326-1,1,1,Feiertage[[Datum ]])=A326</f>
        <v>0</v>
      </c>
      <c r="D326" t="str">
        <f t="shared" si="12"/>
        <v>Sonntag</v>
      </c>
    </row>
    <row r="327" spans="1:4" x14ac:dyDescent="0.3">
      <c r="A327" s="3">
        <v>45068</v>
      </c>
      <c r="B327">
        <f t="shared" si="11"/>
        <v>1</v>
      </c>
      <c r="C327" s="3" t="b">
        <f>+WORKDAY.INTL(A327-1,1,1,Feiertage[[Datum ]])=A327</f>
        <v>1</v>
      </c>
      <c r="D327" t="str">
        <f t="shared" si="12"/>
        <v>Montag</v>
      </c>
    </row>
    <row r="328" spans="1:4" x14ac:dyDescent="0.3">
      <c r="A328" s="3">
        <v>45069</v>
      </c>
      <c r="B328">
        <f t="shared" si="11"/>
        <v>2</v>
      </c>
      <c r="C328" s="3" t="b">
        <f>+WORKDAY.INTL(A328-1,1,1,Feiertage[[Datum ]])=A328</f>
        <v>1</v>
      </c>
      <c r="D328" t="str">
        <f t="shared" si="12"/>
        <v>Dienstag</v>
      </c>
    </row>
    <row r="329" spans="1:4" x14ac:dyDescent="0.3">
      <c r="A329" s="3">
        <v>45070</v>
      </c>
      <c r="B329">
        <f t="shared" si="11"/>
        <v>3</v>
      </c>
      <c r="C329" s="3" t="b">
        <f>+WORKDAY.INTL(A329-1,1,1,Feiertage[[Datum ]])=A329</f>
        <v>1</v>
      </c>
      <c r="D329" t="str">
        <f t="shared" si="12"/>
        <v>Mittwoch</v>
      </c>
    </row>
    <row r="330" spans="1:4" x14ac:dyDescent="0.3">
      <c r="A330" s="3">
        <v>45071</v>
      </c>
      <c r="B330">
        <f t="shared" si="11"/>
        <v>4</v>
      </c>
      <c r="C330" s="3" t="b">
        <f>+WORKDAY.INTL(A330-1,1,1,Feiertage[[Datum ]])=A330</f>
        <v>1</v>
      </c>
      <c r="D330" t="str">
        <f t="shared" si="12"/>
        <v>Donnerstag</v>
      </c>
    </row>
    <row r="331" spans="1:4" x14ac:dyDescent="0.3">
      <c r="A331" s="3">
        <v>45072</v>
      </c>
      <c r="B331">
        <f t="shared" si="11"/>
        <v>5</v>
      </c>
      <c r="C331" s="3" t="b">
        <f>+WORKDAY.INTL(A331-1,1,1,Feiertage[[Datum ]])=A331</f>
        <v>1</v>
      </c>
      <c r="D331" t="str">
        <f t="shared" si="12"/>
        <v>Freitag</v>
      </c>
    </row>
    <row r="332" spans="1:4" x14ac:dyDescent="0.3">
      <c r="A332" s="3">
        <v>45073</v>
      </c>
      <c r="B332">
        <f t="shared" si="11"/>
        <v>6</v>
      </c>
      <c r="C332" s="3" t="b">
        <f>+WORKDAY.INTL(A332-1,1,1,Feiertage[[Datum ]])=A332</f>
        <v>0</v>
      </c>
      <c r="D332" t="str">
        <f t="shared" si="12"/>
        <v>Samstag</v>
      </c>
    </row>
    <row r="333" spans="1:4" x14ac:dyDescent="0.3">
      <c r="A333" s="3">
        <v>45074</v>
      </c>
      <c r="B333">
        <f t="shared" si="11"/>
        <v>7</v>
      </c>
      <c r="C333" s="3" t="b">
        <f>+WORKDAY.INTL(A333-1,1,1,Feiertage[[Datum ]])=A333</f>
        <v>0</v>
      </c>
      <c r="D333" t="str">
        <f t="shared" si="12"/>
        <v>Sonntag</v>
      </c>
    </row>
    <row r="334" spans="1:4" x14ac:dyDescent="0.3">
      <c r="A334" s="3">
        <v>45075</v>
      </c>
      <c r="B334">
        <f t="shared" ref="B334:B366" si="13">+WEEKDAY(A334,2)</f>
        <v>1</v>
      </c>
      <c r="C334" s="3" t="b">
        <f>+WORKDAY.INTL(A334-1,1,1,Feiertage[[Datum ]])=A334</f>
        <v>0</v>
      </c>
      <c r="D334" t="str">
        <f t="shared" si="12"/>
        <v>Montag</v>
      </c>
    </row>
    <row r="335" spans="1:4" x14ac:dyDescent="0.3">
      <c r="A335" s="3">
        <v>45076</v>
      </c>
      <c r="B335">
        <f t="shared" si="13"/>
        <v>2</v>
      </c>
      <c r="C335" s="3" t="b">
        <f>+WORKDAY.INTL(A335-1,1,1,Feiertage[[Datum ]])=A335</f>
        <v>1</v>
      </c>
      <c r="D335" t="str">
        <f t="shared" si="12"/>
        <v>Dienstag</v>
      </c>
    </row>
    <row r="336" spans="1:4" x14ac:dyDescent="0.3">
      <c r="A336" s="3">
        <v>45077</v>
      </c>
      <c r="B336">
        <f t="shared" si="13"/>
        <v>3</v>
      </c>
      <c r="C336" s="3" t="b">
        <f>+WORKDAY.INTL(A336-1,1,1,Feiertage[[Datum ]])=A336</f>
        <v>1</v>
      </c>
      <c r="D336" t="str">
        <f t="shared" si="12"/>
        <v>Mittwoch</v>
      </c>
    </row>
    <row r="337" spans="1:4" x14ac:dyDescent="0.3">
      <c r="A337" s="3">
        <v>45078</v>
      </c>
      <c r="B337">
        <f t="shared" si="13"/>
        <v>4</v>
      </c>
      <c r="C337" s="3" t="b">
        <f>+WORKDAY.INTL(A337-1,1,1,Feiertage[[Datum ]])=A337</f>
        <v>1</v>
      </c>
      <c r="D337" t="str">
        <f t="shared" si="12"/>
        <v>Donnerstag</v>
      </c>
    </row>
    <row r="338" spans="1:4" x14ac:dyDescent="0.3">
      <c r="A338" s="3">
        <v>45079</v>
      </c>
      <c r="B338">
        <f t="shared" si="13"/>
        <v>5</v>
      </c>
      <c r="C338" s="3" t="b">
        <f>+WORKDAY.INTL(A338-1,1,1,Feiertage[[Datum ]])=A338</f>
        <v>1</v>
      </c>
      <c r="D338" t="str">
        <f t="shared" si="12"/>
        <v>Freitag</v>
      </c>
    </row>
    <row r="339" spans="1:4" x14ac:dyDescent="0.3">
      <c r="A339" s="3">
        <v>45080</v>
      </c>
      <c r="B339">
        <f t="shared" si="13"/>
        <v>6</v>
      </c>
      <c r="C339" s="3" t="b">
        <f>+WORKDAY.INTL(A339-1,1,1,Feiertage[[Datum ]])=A339</f>
        <v>0</v>
      </c>
      <c r="D339" t="str">
        <f t="shared" si="12"/>
        <v>Samstag</v>
      </c>
    </row>
    <row r="340" spans="1:4" x14ac:dyDescent="0.3">
      <c r="A340" s="3">
        <v>45081</v>
      </c>
      <c r="B340">
        <f t="shared" si="13"/>
        <v>7</v>
      </c>
      <c r="C340" s="3" t="b">
        <f>+WORKDAY.INTL(A340-1,1,1,Feiertage[[Datum ]])=A340</f>
        <v>0</v>
      </c>
      <c r="D340" t="str">
        <f t="shared" si="12"/>
        <v>Sonntag</v>
      </c>
    </row>
    <row r="341" spans="1:4" x14ac:dyDescent="0.3">
      <c r="A341" s="3">
        <v>45082</v>
      </c>
      <c r="B341">
        <f t="shared" si="13"/>
        <v>1</v>
      </c>
      <c r="C341" s="3" t="b">
        <f>+WORKDAY.INTL(A341-1,1,1,Feiertage[[Datum ]])=A341</f>
        <v>1</v>
      </c>
      <c r="D341" t="str">
        <f t="shared" si="12"/>
        <v>Montag</v>
      </c>
    </row>
    <row r="342" spans="1:4" x14ac:dyDescent="0.3">
      <c r="A342" s="3">
        <v>45083</v>
      </c>
      <c r="B342">
        <f t="shared" si="13"/>
        <v>2</v>
      </c>
      <c r="C342" s="3" t="b">
        <f>+WORKDAY.INTL(A342-1,1,1,Feiertage[[Datum ]])=A342</f>
        <v>1</v>
      </c>
      <c r="D342" t="str">
        <f t="shared" si="12"/>
        <v>Dienstag</v>
      </c>
    </row>
    <row r="343" spans="1:4" x14ac:dyDescent="0.3">
      <c r="A343" s="3">
        <v>45084</v>
      </c>
      <c r="B343">
        <f t="shared" si="13"/>
        <v>3</v>
      </c>
      <c r="C343" s="3" t="b">
        <f>+WORKDAY.INTL(A343-1,1,1,Feiertage[[Datum ]])=A343</f>
        <v>1</v>
      </c>
      <c r="D343" t="str">
        <f t="shared" si="12"/>
        <v>Mittwoch</v>
      </c>
    </row>
    <row r="344" spans="1:4" x14ac:dyDescent="0.3">
      <c r="A344" s="3">
        <v>45085</v>
      </c>
      <c r="B344">
        <f t="shared" si="13"/>
        <v>4</v>
      </c>
      <c r="C344" s="3" t="b">
        <f>+WORKDAY.INTL(A344-1,1,1,Feiertage[[Datum ]])=A344</f>
        <v>0</v>
      </c>
      <c r="D344" t="str">
        <f t="shared" si="12"/>
        <v>Donnerstag</v>
      </c>
    </row>
    <row r="345" spans="1:4" x14ac:dyDescent="0.3">
      <c r="A345" s="3">
        <v>45086</v>
      </c>
      <c r="B345">
        <f t="shared" si="13"/>
        <v>5</v>
      </c>
      <c r="C345" s="3" t="b">
        <f>+WORKDAY.INTL(A345-1,1,1,Feiertage[[Datum ]])=A345</f>
        <v>1</v>
      </c>
      <c r="D345" t="str">
        <f t="shared" si="12"/>
        <v>Freitag</v>
      </c>
    </row>
    <row r="346" spans="1:4" x14ac:dyDescent="0.3">
      <c r="A346" s="3">
        <v>45087</v>
      </c>
      <c r="B346">
        <f t="shared" si="13"/>
        <v>6</v>
      </c>
      <c r="C346" s="3" t="b">
        <f>+WORKDAY.INTL(A346-1,1,1,Feiertage[[Datum ]])=A346</f>
        <v>0</v>
      </c>
      <c r="D346" t="str">
        <f t="shared" si="12"/>
        <v>Samstag</v>
      </c>
    </row>
    <row r="347" spans="1:4" x14ac:dyDescent="0.3">
      <c r="A347" s="3">
        <v>45088</v>
      </c>
      <c r="B347">
        <f t="shared" si="13"/>
        <v>7</v>
      </c>
      <c r="C347" s="3" t="b">
        <f>+WORKDAY.INTL(A347-1,1,1,Feiertage[[Datum ]])=A347</f>
        <v>0</v>
      </c>
      <c r="D347" t="str">
        <f t="shared" si="12"/>
        <v>Sonntag</v>
      </c>
    </row>
    <row r="348" spans="1:4" x14ac:dyDescent="0.3">
      <c r="A348" s="3">
        <v>45089</v>
      </c>
      <c r="B348">
        <f t="shared" si="13"/>
        <v>1</v>
      </c>
      <c r="C348" s="3" t="b">
        <f>+WORKDAY.INTL(A348-1,1,1,Feiertage[[Datum ]])=A348</f>
        <v>1</v>
      </c>
      <c r="D348" t="str">
        <f t="shared" si="12"/>
        <v>Montag</v>
      </c>
    </row>
    <row r="349" spans="1:4" x14ac:dyDescent="0.3">
      <c r="A349" s="3">
        <v>45090</v>
      </c>
      <c r="B349">
        <f t="shared" si="13"/>
        <v>2</v>
      </c>
      <c r="C349" s="3" t="b">
        <f>+WORKDAY.INTL(A349-1,1,1,Feiertage[[Datum ]])=A349</f>
        <v>1</v>
      </c>
      <c r="D349" t="str">
        <f t="shared" si="12"/>
        <v>Dienstag</v>
      </c>
    </row>
    <row r="350" spans="1:4" x14ac:dyDescent="0.3">
      <c r="A350" s="3">
        <v>45091</v>
      </c>
      <c r="B350">
        <f t="shared" si="13"/>
        <v>3</v>
      </c>
      <c r="C350" s="3" t="b">
        <f>+WORKDAY.INTL(A350-1,1,1,Feiertage[[Datum ]])=A350</f>
        <v>1</v>
      </c>
      <c r="D350" t="str">
        <f t="shared" si="12"/>
        <v>Mittwoch</v>
      </c>
    </row>
    <row r="351" spans="1:4" x14ac:dyDescent="0.3">
      <c r="A351" s="3">
        <v>45092</v>
      </c>
      <c r="B351">
        <f t="shared" si="13"/>
        <v>4</v>
      </c>
      <c r="C351" s="3" t="b">
        <f>+WORKDAY.INTL(A351-1,1,1,Feiertage[[Datum ]])=A351</f>
        <v>1</v>
      </c>
      <c r="D351" t="str">
        <f t="shared" si="12"/>
        <v>Donnerstag</v>
      </c>
    </row>
    <row r="352" spans="1:4" x14ac:dyDescent="0.3">
      <c r="A352" s="3">
        <v>45093</v>
      </c>
      <c r="B352">
        <f t="shared" si="13"/>
        <v>5</v>
      </c>
      <c r="C352" s="3" t="b">
        <f>+WORKDAY.INTL(A352-1,1,1,Feiertage[[Datum ]])=A352</f>
        <v>1</v>
      </c>
      <c r="D352" t="str">
        <f t="shared" si="12"/>
        <v>Freitag</v>
      </c>
    </row>
    <row r="353" spans="1:4" x14ac:dyDescent="0.3">
      <c r="A353" s="3">
        <v>45094</v>
      </c>
      <c r="B353">
        <f t="shared" si="13"/>
        <v>6</v>
      </c>
      <c r="C353" s="3" t="b">
        <f>+WORKDAY.INTL(A353-1,1,1,Feiertage[[Datum ]])=A353</f>
        <v>0</v>
      </c>
      <c r="D353" t="str">
        <f t="shared" si="12"/>
        <v>Samstag</v>
      </c>
    </row>
    <row r="354" spans="1:4" x14ac:dyDescent="0.3">
      <c r="A354" s="3">
        <v>45095</v>
      </c>
      <c r="B354">
        <f t="shared" si="13"/>
        <v>7</v>
      </c>
      <c r="C354" s="3" t="b">
        <f>+WORKDAY.INTL(A354-1,1,1,Feiertage[[Datum ]])=A354</f>
        <v>0</v>
      </c>
      <c r="D354" t="str">
        <f t="shared" si="12"/>
        <v>Sonntag</v>
      </c>
    </row>
    <row r="355" spans="1:4" x14ac:dyDescent="0.3">
      <c r="A355" s="3">
        <v>45096</v>
      </c>
      <c r="B355">
        <f t="shared" si="13"/>
        <v>1</v>
      </c>
      <c r="C355" s="3" t="b">
        <f>+WORKDAY.INTL(A355-1,1,1,Feiertage[[Datum ]])=A355</f>
        <v>1</v>
      </c>
      <c r="D355" t="str">
        <f t="shared" si="12"/>
        <v>Montag</v>
      </c>
    </row>
    <row r="356" spans="1:4" x14ac:dyDescent="0.3">
      <c r="A356" s="3">
        <v>45097</v>
      </c>
      <c r="B356">
        <f t="shared" si="13"/>
        <v>2</v>
      </c>
      <c r="C356" s="3" t="b">
        <f>+WORKDAY.INTL(A356-1,1,1,Feiertage[[Datum ]])=A356</f>
        <v>1</v>
      </c>
      <c r="D356" t="str">
        <f t="shared" si="12"/>
        <v>Dienstag</v>
      </c>
    </row>
    <row r="357" spans="1:4" x14ac:dyDescent="0.3">
      <c r="A357" s="3">
        <v>45098</v>
      </c>
      <c r="B357">
        <f t="shared" si="13"/>
        <v>3</v>
      </c>
      <c r="C357" s="3" t="b">
        <f>+WORKDAY.INTL(A357-1,1,1,Feiertage[[Datum ]])=A357</f>
        <v>1</v>
      </c>
      <c r="D357" t="str">
        <f t="shared" si="12"/>
        <v>Mittwoch</v>
      </c>
    </row>
    <row r="358" spans="1:4" x14ac:dyDescent="0.3">
      <c r="A358" s="3">
        <v>45099</v>
      </c>
      <c r="B358">
        <f t="shared" si="13"/>
        <v>4</v>
      </c>
      <c r="C358" s="3" t="b">
        <f>+WORKDAY.INTL(A358-1,1,1,Feiertage[[Datum ]])=A358</f>
        <v>1</v>
      </c>
      <c r="D358" t="str">
        <f t="shared" si="12"/>
        <v>Donnerstag</v>
      </c>
    </row>
    <row r="359" spans="1:4" x14ac:dyDescent="0.3">
      <c r="A359" s="3">
        <v>45100</v>
      </c>
      <c r="B359">
        <f t="shared" si="13"/>
        <v>5</v>
      </c>
      <c r="C359" s="3" t="b">
        <f>+WORKDAY.INTL(A359-1,1,1,Feiertage[[Datum ]])=A359</f>
        <v>1</v>
      </c>
      <c r="D359" t="str">
        <f t="shared" si="12"/>
        <v>Freitag</v>
      </c>
    </row>
    <row r="360" spans="1:4" x14ac:dyDescent="0.3">
      <c r="A360" s="3">
        <v>45101</v>
      </c>
      <c r="B360">
        <f t="shared" si="13"/>
        <v>6</v>
      </c>
      <c r="C360" s="3" t="b">
        <f>+WORKDAY.INTL(A360-1,1,1,Feiertage[[Datum ]])=A360</f>
        <v>0</v>
      </c>
      <c r="D360" t="str">
        <f t="shared" si="12"/>
        <v>Samstag</v>
      </c>
    </row>
    <row r="361" spans="1:4" x14ac:dyDescent="0.3">
      <c r="A361" s="3">
        <v>45102</v>
      </c>
      <c r="B361">
        <f t="shared" si="13"/>
        <v>7</v>
      </c>
      <c r="C361" s="3" t="b">
        <f>+WORKDAY.INTL(A361-1,1,1,Feiertage[[Datum ]])=A361</f>
        <v>0</v>
      </c>
      <c r="D361" t="str">
        <f t="shared" si="12"/>
        <v>Sonntag</v>
      </c>
    </row>
    <row r="362" spans="1:4" x14ac:dyDescent="0.3">
      <c r="A362" s="3">
        <v>45103</v>
      </c>
      <c r="B362">
        <f t="shared" si="13"/>
        <v>1</v>
      </c>
      <c r="C362" s="3" t="b">
        <f>+WORKDAY.INTL(A362-1,1,1,Feiertage[[Datum ]])=A362</f>
        <v>1</v>
      </c>
      <c r="D362" t="str">
        <f t="shared" si="12"/>
        <v>Montag</v>
      </c>
    </row>
    <row r="363" spans="1:4" x14ac:dyDescent="0.3">
      <c r="A363" s="3">
        <v>45104</v>
      </c>
      <c r="B363">
        <f t="shared" si="13"/>
        <v>2</v>
      </c>
      <c r="C363" s="3" t="b">
        <f>+WORKDAY.INTL(A363-1,1,1,Feiertage[[Datum ]])=A363</f>
        <v>1</v>
      </c>
      <c r="D363" t="str">
        <f t="shared" si="12"/>
        <v>Dienstag</v>
      </c>
    </row>
    <row r="364" spans="1:4" x14ac:dyDescent="0.3">
      <c r="A364" s="3">
        <v>45105</v>
      </c>
      <c r="B364">
        <f t="shared" si="13"/>
        <v>3</v>
      </c>
      <c r="C364" s="3" t="b">
        <f>+WORKDAY.INTL(A364-1,1,1,Feiertage[[Datum ]])=A364</f>
        <v>1</v>
      </c>
      <c r="D364" t="str">
        <f t="shared" si="12"/>
        <v>Mittwoch</v>
      </c>
    </row>
    <row r="365" spans="1:4" x14ac:dyDescent="0.3">
      <c r="A365" s="3">
        <v>45106</v>
      </c>
      <c r="B365">
        <f t="shared" si="13"/>
        <v>4</v>
      </c>
      <c r="C365" s="3" t="b">
        <f>+WORKDAY.INTL(A365-1,1,1,Feiertage[[Datum ]])=A365</f>
        <v>1</v>
      </c>
      <c r="D365" t="str">
        <f t="shared" si="12"/>
        <v>Donnerstag</v>
      </c>
    </row>
    <row r="366" spans="1:4" x14ac:dyDescent="0.3">
      <c r="A366" s="3">
        <v>45107</v>
      </c>
      <c r="B366">
        <f t="shared" si="13"/>
        <v>5</v>
      </c>
      <c r="C366" s="3" t="b">
        <f>+WORKDAY.INTL(A366-1,1,1,Feiertage[[Datum ]])=A366</f>
        <v>1</v>
      </c>
      <c r="D366" t="str">
        <f t="shared" si="12"/>
        <v>Freitag</v>
      </c>
    </row>
  </sheetData>
  <autoFilter ref="A1:D366" xr:uid="{4FE33CFE-D405-4C5D-ACAB-5A4BF6AEAFD3}">
    <filterColumn colId="0">
      <filters>
        <dateGroupItem year="2023" dateTimeGrouping="year"/>
      </filters>
    </filterColumn>
  </autoFilter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A46DD-42F3-4529-888C-00C33DE85991}">
  <sheetPr codeName="Tabelle9">
    <tabColor theme="5" tint="-0.249977111117893"/>
  </sheetPr>
  <dimension ref="A1:G772"/>
  <sheetViews>
    <sheetView zoomScale="90" zoomScaleNormal="90" workbookViewId="0">
      <selection activeCell="B2" sqref="B2"/>
    </sheetView>
  </sheetViews>
  <sheetFormatPr baseColWidth="10" defaultColWidth="11.44140625" defaultRowHeight="14.4" x14ac:dyDescent="0.3"/>
  <cols>
    <col min="1" max="1" width="11.88671875" bestFit="1" customWidth="1"/>
    <col min="2" max="2" width="14.33203125" bestFit="1" customWidth="1"/>
    <col min="4" max="4" width="18.6640625" customWidth="1"/>
    <col min="5" max="5" width="21" customWidth="1"/>
    <col min="6" max="6" width="18.109375" customWidth="1"/>
    <col min="7" max="7" width="30.88671875" customWidth="1"/>
    <col min="8" max="8" width="24.109375" customWidth="1"/>
  </cols>
  <sheetData>
    <row r="1" spans="1:7" x14ac:dyDescent="0.3">
      <c r="A1" s="7" t="s">
        <v>27</v>
      </c>
      <c r="B1" s="7" t="s">
        <v>107</v>
      </c>
      <c r="C1" s="7" t="s">
        <v>108</v>
      </c>
      <c r="D1" s="7" t="s">
        <v>38</v>
      </c>
      <c r="E1" s="7" t="s">
        <v>88</v>
      </c>
      <c r="F1" s="4" t="s">
        <v>109</v>
      </c>
      <c r="G1" s="4" t="s">
        <v>110</v>
      </c>
    </row>
    <row r="2" spans="1:7" x14ac:dyDescent="0.3">
      <c r="A2" s="8">
        <v>44743</v>
      </c>
      <c r="B2" s="20">
        <v>1</v>
      </c>
      <c r="C2" s="25" t="s">
        <v>56</v>
      </c>
      <c r="D2" t="str">
        <f>+VLOOKUP(C2,DIM_Mitarbeiter!A:D,4,0)</f>
        <v>VERKAUF</v>
      </c>
      <c r="E2" s="25" t="s">
        <v>81</v>
      </c>
      <c r="F2" cm="1">
        <f t="array" ref="F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" cm="1">
        <f t="array" ref="G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3" spans="1:7" x14ac:dyDescent="0.3">
      <c r="A3" s="8">
        <v>44743</v>
      </c>
      <c r="B3" s="20">
        <v>1</v>
      </c>
      <c r="C3" t="s">
        <v>56</v>
      </c>
      <c r="D3" t="str">
        <f>+VLOOKUP(C3,DIM_Mitarbeiter!A:D,4,0)</f>
        <v>VERKAUF</v>
      </c>
      <c r="E3" t="s">
        <v>83</v>
      </c>
      <c r="F3" cm="1">
        <f t="array" ref="F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" cm="1">
        <f t="array" ref="G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" spans="1:7" x14ac:dyDescent="0.3">
      <c r="A4" s="8">
        <v>44743</v>
      </c>
      <c r="B4" s="20">
        <v>1</v>
      </c>
      <c r="C4" s="25" t="s">
        <v>43</v>
      </c>
      <c r="D4" t="str">
        <f>+VLOOKUP(C4,DIM_Mitarbeiter!A:D,4,0)</f>
        <v>VERW</v>
      </c>
      <c r="E4" s="25" t="s">
        <v>83</v>
      </c>
      <c r="F4" cm="1">
        <f t="array" ref="F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" cm="1">
        <f t="array" ref="G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" spans="1:7" x14ac:dyDescent="0.3">
      <c r="A5" s="8">
        <v>44743</v>
      </c>
      <c r="B5" s="20">
        <v>1</v>
      </c>
      <c r="C5" s="25" t="s">
        <v>43</v>
      </c>
      <c r="D5" t="str">
        <f>+VLOOKUP(C5,DIM_Mitarbeiter!A:D,4,0)</f>
        <v>VERW</v>
      </c>
      <c r="E5" t="s">
        <v>81</v>
      </c>
      <c r="F5" cm="1">
        <f t="array" ref="F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" cm="1">
        <f t="array" ref="G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" spans="1:7" x14ac:dyDescent="0.3">
      <c r="A6" s="33">
        <v>44743</v>
      </c>
      <c r="B6" s="20">
        <v>1</v>
      </c>
      <c r="C6" t="s">
        <v>50</v>
      </c>
      <c r="D6" t="str">
        <f>+VLOOKUP(C6,DIM_Mitarbeiter!A:D,4,0)</f>
        <v>PROD</v>
      </c>
      <c r="E6" t="s">
        <v>81</v>
      </c>
      <c r="F6" cm="1">
        <f t="array" ref="F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6" cm="1">
        <f t="array" ref="G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" spans="1:7" x14ac:dyDescent="0.3">
      <c r="A7" s="33">
        <v>44743</v>
      </c>
      <c r="B7" s="20">
        <v>1</v>
      </c>
      <c r="C7" t="s">
        <v>50</v>
      </c>
      <c r="D7" t="str">
        <f>+VLOOKUP(C7,DIM_Mitarbeiter!A:D,4,0)</f>
        <v>PROD</v>
      </c>
      <c r="E7" t="s">
        <v>83</v>
      </c>
      <c r="F7" cm="1">
        <f t="array" ref="F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" cm="1">
        <f t="array" ref="G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8" spans="1:7" x14ac:dyDescent="0.3">
      <c r="A8" s="8">
        <v>44743</v>
      </c>
      <c r="B8" s="20">
        <v>1</v>
      </c>
      <c r="C8" t="s">
        <v>66</v>
      </c>
      <c r="D8" t="str">
        <f>+VLOOKUP(C8,DIM_Mitarbeiter!A:D,4,0)</f>
        <v>VERW</v>
      </c>
      <c r="E8" t="s">
        <v>81</v>
      </c>
      <c r="F8" cm="1">
        <f t="array" ref="F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8" cm="1">
        <f t="array" ref="G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9" spans="1:7" x14ac:dyDescent="0.3">
      <c r="A9" s="8">
        <v>44743</v>
      </c>
      <c r="B9" s="20">
        <v>1</v>
      </c>
      <c r="C9" t="s">
        <v>66</v>
      </c>
      <c r="D9" t="str">
        <f>+VLOOKUP(C9,DIM_Mitarbeiter!A:D,4,0)</f>
        <v>VERW</v>
      </c>
      <c r="E9" t="s">
        <v>83</v>
      </c>
      <c r="F9" cm="1">
        <f t="array" ref="F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9" cm="1">
        <f t="array" ref="G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0" spans="1:7" x14ac:dyDescent="0.3">
      <c r="A10" s="8">
        <v>44743</v>
      </c>
      <c r="B10" s="20">
        <v>1</v>
      </c>
      <c r="C10" t="s">
        <v>60</v>
      </c>
      <c r="D10" t="str">
        <f>+VLOOKUP(C10,DIM_Mitarbeiter!A:D,4,0)</f>
        <v>VERKAUF</v>
      </c>
      <c r="E10" t="s">
        <v>81</v>
      </c>
      <c r="F10" cm="1">
        <f t="array" ref="F1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10" cm="1">
        <f t="array" ref="G1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11" spans="1:7" x14ac:dyDescent="0.3">
      <c r="A11" s="8">
        <v>44743</v>
      </c>
      <c r="B11" s="20">
        <v>1</v>
      </c>
      <c r="C11" t="s">
        <v>60</v>
      </c>
      <c r="D11" t="str">
        <f>+VLOOKUP(C11,DIM_Mitarbeiter!A:D,4,0)</f>
        <v>VERKAUF</v>
      </c>
      <c r="E11" t="s">
        <v>83</v>
      </c>
      <c r="F11" cm="1">
        <f t="array" ref="F1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11" cm="1">
        <f t="array" ref="G1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2" spans="1:7" x14ac:dyDescent="0.3">
      <c r="A12" s="8">
        <v>44743</v>
      </c>
      <c r="B12" s="20">
        <v>1</v>
      </c>
      <c r="C12" t="s">
        <v>69</v>
      </c>
      <c r="D12" t="str">
        <f>+VLOOKUP(C12,DIM_Mitarbeiter!A:D,4,0)</f>
        <v>VERKAUF</v>
      </c>
      <c r="E12" t="s">
        <v>81</v>
      </c>
      <c r="F12" cm="1">
        <f t="array" ref="F1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12" cm="1">
        <f t="array" ref="G1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3" spans="1:7" x14ac:dyDescent="0.3">
      <c r="A13" s="8">
        <v>44743</v>
      </c>
      <c r="B13" s="20">
        <v>1</v>
      </c>
      <c r="C13" t="s">
        <v>69</v>
      </c>
      <c r="D13" t="str">
        <f>+VLOOKUP(C13,DIM_Mitarbeiter!A:D,4,0)</f>
        <v>VERKAUF</v>
      </c>
      <c r="E13" t="s">
        <v>83</v>
      </c>
      <c r="F13" cm="1">
        <f t="array" ref="F1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13" cm="1">
        <f t="array" ref="G1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4" spans="1:7" x14ac:dyDescent="0.3">
      <c r="A14" s="8">
        <v>44743</v>
      </c>
      <c r="B14" s="20">
        <v>1</v>
      </c>
      <c r="C14" s="25" t="s">
        <v>53</v>
      </c>
      <c r="D14" t="str">
        <f>+VLOOKUP(C14,DIM_Mitarbeiter!A:D,4,0)</f>
        <v>PROD</v>
      </c>
      <c r="E14" s="25" t="s">
        <v>81</v>
      </c>
      <c r="F14" cm="1">
        <f t="array" ref="F1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14" cm="1">
        <f t="array" ref="G1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5" spans="1:7" x14ac:dyDescent="0.3">
      <c r="A15" s="8">
        <v>44743</v>
      </c>
      <c r="B15" s="20">
        <v>1</v>
      </c>
      <c r="C15" s="25" t="s">
        <v>53</v>
      </c>
      <c r="D15" t="str">
        <f>+VLOOKUP(C15,DIM_Mitarbeiter!A:D,4,0)</f>
        <v>PROD</v>
      </c>
      <c r="E15" s="25" t="s">
        <v>83</v>
      </c>
      <c r="F15" cm="1">
        <f t="array" ref="F1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15" cm="1">
        <f t="array" ref="G1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6" spans="1:7" x14ac:dyDescent="0.3">
      <c r="A16" s="8">
        <v>44743</v>
      </c>
      <c r="B16" s="20">
        <v>1</v>
      </c>
      <c r="C16" t="s">
        <v>63</v>
      </c>
      <c r="D16" t="str">
        <f>+VLOOKUP(C16,DIM_Mitarbeiter!A:D,4,0)</f>
        <v>VERKAUF</v>
      </c>
      <c r="E16" t="s">
        <v>81</v>
      </c>
      <c r="F16" cm="1">
        <f t="array" ref="F1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16" cm="1">
        <f t="array" ref="G1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7" spans="1:7" x14ac:dyDescent="0.3">
      <c r="A17" s="8">
        <v>44743</v>
      </c>
      <c r="B17" s="20">
        <v>1</v>
      </c>
      <c r="C17" t="s">
        <v>63</v>
      </c>
      <c r="D17" t="str">
        <f>+VLOOKUP(C17,DIM_Mitarbeiter!A:D,4,0)</f>
        <v>VERKAUF</v>
      </c>
      <c r="E17" t="s">
        <v>83</v>
      </c>
      <c r="F17" cm="1">
        <f t="array" ref="F1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17" cm="1">
        <f t="array" ref="G1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8" spans="1:7" x14ac:dyDescent="0.3">
      <c r="A18" s="8">
        <v>44743</v>
      </c>
      <c r="B18" s="20">
        <v>1</v>
      </c>
      <c r="C18" t="s">
        <v>72</v>
      </c>
      <c r="D18" t="str">
        <f>+VLOOKUP(C18,DIM_Mitarbeiter!A:D,4,0)</f>
        <v>PROD</v>
      </c>
      <c r="E18" t="s">
        <v>81</v>
      </c>
      <c r="F18" cm="1">
        <f t="array" ref="F1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18" cm="1">
        <f t="array" ref="G1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9" spans="1:7" x14ac:dyDescent="0.3">
      <c r="A19" s="8">
        <v>44743</v>
      </c>
      <c r="B19" s="20">
        <v>1</v>
      </c>
      <c r="C19" t="s">
        <v>72</v>
      </c>
      <c r="D19" t="str">
        <f>+VLOOKUP(C19,DIM_Mitarbeiter!A:D,4,0)</f>
        <v>PROD</v>
      </c>
      <c r="E19" t="s">
        <v>83</v>
      </c>
      <c r="F19" cm="1">
        <f t="array" ref="F1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19" cm="1">
        <f t="array" ref="G1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0" spans="1:7" x14ac:dyDescent="0.3">
      <c r="A20" s="8">
        <v>44743</v>
      </c>
      <c r="B20" s="20">
        <v>1</v>
      </c>
      <c r="C20" s="25" t="s">
        <v>46</v>
      </c>
      <c r="D20" t="str">
        <f>+VLOOKUP(C20,DIM_Mitarbeiter!A:D,4,0)</f>
        <v>PROD</v>
      </c>
      <c r="E20" s="25" t="s">
        <v>81</v>
      </c>
      <c r="F20" cm="1">
        <f t="array" ref="F2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0" cm="1">
        <f t="array" ref="G2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1" spans="1:7" x14ac:dyDescent="0.3">
      <c r="A21" s="8">
        <v>44743</v>
      </c>
      <c r="B21" s="20">
        <v>1</v>
      </c>
      <c r="C21" s="25" t="s">
        <v>46</v>
      </c>
      <c r="D21" t="str">
        <f>+VLOOKUP(C21,DIM_Mitarbeiter!A:D,4,0)</f>
        <v>PROD</v>
      </c>
      <c r="E21" t="s">
        <v>83</v>
      </c>
      <c r="F21" cm="1">
        <f t="array" ref="F2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1" cm="1">
        <f t="array" ref="G2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2" spans="1:7" x14ac:dyDescent="0.3">
      <c r="A22" s="8">
        <v>44743</v>
      </c>
      <c r="B22" s="20">
        <v>1</v>
      </c>
      <c r="C22" s="25" t="s">
        <v>39</v>
      </c>
      <c r="D22" t="str">
        <f>+VLOOKUP(C22,DIM_Mitarbeiter!A:D,4,0)</f>
        <v>VERW</v>
      </c>
      <c r="E22" s="25" t="s">
        <v>83</v>
      </c>
      <c r="F22" cm="1">
        <f t="array" ref="F2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2" cm="1">
        <f t="array" ref="G2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3" spans="1:7" x14ac:dyDescent="0.3">
      <c r="A23" s="8">
        <v>44743</v>
      </c>
      <c r="B23" s="20">
        <v>1</v>
      </c>
      <c r="C23" s="25" t="s">
        <v>39</v>
      </c>
      <c r="D23" t="str">
        <f>+VLOOKUP(C23,DIM_Mitarbeiter!A:D,4,0)</f>
        <v>VERW</v>
      </c>
      <c r="E23" s="25" t="s">
        <v>81</v>
      </c>
      <c r="F23" cm="1">
        <f t="array" ref="F2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3" cm="1">
        <f t="array" ref="G2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24" spans="1:7" x14ac:dyDescent="0.3">
      <c r="A24" s="8">
        <v>44743</v>
      </c>
      <c r="B24" s="20">
        <v>2</v>
      </c>
      <c r="C24" s="25" t="s">
        <v>56</v>
      </c>
      <c r="D24" t="str">
        <f>+VLOOKUP(C24,DIM_Mitarbeiter!A:D,4,0)</f>
        <v>VERKAUF</v>
      </c>
      <c r="E24" s="25" t="s">
        <v>81</v>
      </c>
      <c r="F24" cm="1">
        <f t="array" ref="F2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4" cm="1">
        <f t="array" ref="G2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5" spans="1:7" x14ac:dyDescent="0.3">
      <c r="A25" s="8">
        <v>44743</v>
      </c>
      <c r="B25" s="20">
        <v>2</v>
      </c>
      <c r="C25" t="s">
        <v>56</v>
      </c>
      <c r="D25" t="str">
        <f>+VLOOKUP(C25,DIM_Mitarbeiter!A:D,4,0)</f>
        <v>VERKAUF</v>
      </c>
      <c r="E25" t="s">
        <v>83</v>
      </c>
      <c r="F25" cm="1">
        <f t="array" ref="F2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5" cm="1">
        <f t="array" ref="G2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6" spans="1:7" x14ac:dyDescent="0.3">
      <c r="A26" s="8">
        <v>44743</v>
      </c>
      <c r="B26" s="20">
        <v>2</v>
      </c>
      <c r="C26" s="25" t="s">
        <v>43</v>
      </c>
      <c r="D26" t="str">
        <f>+VLOOKUP(C26,DIM_Mitarbeiter!A:D,4,0)</f>
        <v>VERW</v>
      </c>
      <c r="E26" s="25" t="s">
        <v>81</v>
      </c>
      <c r="F26" cm="1">
        <f t="array" ref="F2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6" cm="1">
        <f t="array" ref="G2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7" spans="1:7" x14ac:dyDescent="0.3">
      <c r="A27" s="8">
        <v>44743</v>
      </c>
      <c r="B27" s="20">
        <v>2</v>
      </c>
      <c r="C27" s="25" t="s">
        <v>43</v>
      </c>
      <c r="D27" t="str">
        <f>+VLOOKUP(C27,DIM_Mitarbeiter!A:D,4,0)</f>
        <v>VERW</v>
      </c>
      <c r="E27" s="25" t="s">
        <v>83</v>
      </c>
      <c r="F27" cm="1">
        <f t="array" ref="F2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7" cm="1">
        <f t="array" ref="G2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8" spans="1:7" x14ac:dyDescent="0.3">
      <c r="A28" s="33">
        <v>44743</v>
      </c>
      <c r="B28" s="20">
        <v>2</v>
      </c>
      <c r="C28" t="s">
        <v>50</v>
      </c>
      <c r="D28" t="str">
        <f>+VLOOKUP(C28,DIM_Mitarbeiter!A:D,4,0)</f>
        <v>PROD</v>
      </c>
      <c r="E28" t="s">
        <v>81</v>
      </c>
      <c r="F28" cm="1">
        <f t="array" ref="F2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8" cm="1">
        <f t="array" ref="G2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9" spans="1:7" x14ac:dyDescent="0.3">
      <c r="A29" s="33">
        <v>44743</v>
      </c>
      <c r="B29" s="20">
        <v>2</v>
      </c>
      <c r="C29" t="s">
        <v>50</v>
      </c>
      <c r="D29" t="str">
        <f>+VLOOKUP(C29,DIM_Mitarbeiter!A:D,4,0)</f>
        <v>PROD</v>
      </c>
      <c r="E29" t="s">
        <v>83</v>
      </c>
      <c r="F29" cm="1">
        <f t="array" ref="F2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9" cm="1">
        <f t="array" ref="G2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0" spans="1:7" x14ac:dyDescent="0.3">
      <c r="A30" s="8">
        <v>44743</v>
      </c>
      <c r="B30" s="20">
        <v>2</v>
      </c>
      <c r="C30" t="s">
        <v>66</v>
      </c>
      <c r="D30" t="str">
        <f>+VLOOKUP(C30,DIM_Mitarbeiter!A:D,4,0)</f>
        <v>VERW</v>
      </c>
      <c r="E30" t="s">
        <v>81</v>
      </c>
      <c r="F30" cm="1">
        <f t="array" ref="F3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0" cm="1">
        <f t="array" ref="G3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1" spans="1:7" x14ac:dyDescent="0.3">
      <c r="A31" s="8">
        <v>44743</v>
      </c>
      <c r="B31" s="20">
        <v>2</v>
      </c>
      <c r="C31" t="s">
        <v>66</v>
      </c>
      <c r="D31" t="str">
        <f>+VLOOKUP(C31,DIM_Mitarbeiter!A:D,4,0)</f>
        <v>VERW</v>
      </c>
      <c r="E31" t="s">
        <v>83</v>
      </c>
      <c r="F31" cm="1">
        <f t="array" ref="F3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1" cm="1">
        <f t="array" ref="G3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2" spans="1:7" x14ac:dyDescent="0.3">
      <c r="A32" s="8">
        <v>44743</v>
      </c>
      <c r="B32" s="20">
        <v>2</v>
      </c>
      <c r="C32" t="s">
        <v>60</v>
      </c>
      <c r="D32" t="str">
        <f>+VLOOKUP(C32,DIM_Mitarbeiter!A:D,4,0)</f>
        <v>VERKAUF</v>
      </c>
      <c r="E32" t="s">
        <v>81</v>
      </c>
      <c r="F32" cm="1">
        <f t="array" ref="F3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2" cm="1">
        <f t="array" ref="G3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3" spans="1:7" x14ac:dyDescent="0.3">
      <c r="A33" s="8">
        <v>44743</v>
      </c>
      <c r="B33" s="20">
        <v>2</v>
      </c>
      <c r="C33" t="s">
        <v>60</v>
      </c>
      <c r="D33" t="str">
        <f>+VLOOKUP(C33,DIM_Mitarbeiter!A:D,4,0)</f>
        <v>VERKAUF</v>
      </c>
      <c r="E33" t="s">
        <v>83</v>
      </c>
      <c r="F33" cm="1">
        <f t="array" ref="F3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3" cm="1">
        <f t="array" ref="G3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4" spans="1:7" x14ac:dyDescent="0.3">
      <c r="A34" s="8">
        <v>44743</v>
      </c>
      <c r="B34" s="20">
        <v>2</v>
      </c>
      <c r="C34" t="s">
        <v>69</v>
      </c>
      <c r="D34" t="str">
        <f>+VLOOKUP(C34,DIM_Mitarbeiter!A:D,4,0)</f>
        <v>VERKAUF</v>
      </c>
      <c r="E34" t="s">
        <v>81</v>
      </c>
      <c r="F34" cm="1">
        <f t="array" ref="F3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4" cm="1">
        <f t="array" ref="G3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5" spans="1:7" x14ac:dyDescent="0.3">
      <c r="A35" s="8">
        <v>44743</v>
      </c>
      <c r="B35" s="20">
        <v>2</v>
      </c>
      <c r="C35" t="s">
        <v>69</v>
      </c>
      <c r="D35" t="str">
        <f>+VLOOKUP(C35,DIM_Mitarbeiter!A:D,4,0)</f>
        <v>VERKAUF</v>
      </c>
      <c r="E35" t="s">
        <v>83</v>
      </c>
      <c r="F35" cm="1">
        <f t="array" ref="F3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5" cm="1">
        <f t="array" ref="G3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6" spans="1:7" x14ac:dyDescent="0.3">
      <c r="A36" s="8">
        <v>44743</v>
      </c>
      <c r="B36" s="20">
        <v>2</v>
      </c>
      <c r="C36" t="s">
        <v>53</v>
      </c>
      <c r="D36" t="str">
        <f>+VLOOKUP(C36,DIM_Mitarbeiter!A:D,4,0)</f>
        <v>PROD</v>
      </c>
      <c r="E36" t="s">
        <v>81</v>
      </c>
      <c r="F36" cm="1">
        <f t="array" ref="F3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6" cm="1">
        <f t="array" ref="G3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7" spans="1:7" x14ac:dyDescent="0.3">
      <c r="A37" s="8">
        <v>44743</v>
      </c>
      <c r="B37" s="20">
        <v>2</v>
      </c>
      <c r="C37" t="s">
        <v>53</v>
      </c>
      <c r="D37" t="str">
        <f>+VLOOKUP(C37,DIM_Mitarbeiter!A:D,4,0)</f>
        <v>PROD</v>
      </c>
      <c r="E37" t="s">
        <v>83</v>
      </c>
      <c r="F37" cm="1">
        <f t="array" ref="F3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7" cm="1">
        <f t="array" ref="G3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8" spans="1:7" x14ac:dyDescent="0.3">
      <c r="A38" s="8">
        <v>44743</v>
      </c>
      <c r="B38" s="20">
        <v>2</v>
      </c>
      <c r="C38" t="s">
        <v>63</v>
      </c>
      <c r="D38" t="str">
        <f>+VLOOKUP(C38,DIM_Mitarbeiter!A:D,4,0)</f>
        <v>VERKAUF</v>
      </c>
      <c r="E38" t="s">
        <v>81</v>
      </c>
      <c r="F38" cm="1">
        <f t="array" ref="F3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8" cm="1">
        <f t="array" ref="G3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9" spans="1:7" x14ac:dyDescent="0.3">
      <c r="A39" s="8">
        <v>44743</v>
      </c>
      <c r="B39" s="20">
        <v>2</v>
      </c>
      <c r="C39" t="s">
        <v>63</v>
      </c>
      <c r="D39" t="str">
        <f>+VLOOKUP(C39,DIM_Mitarbeiter!A:D,4,0)</f>
        <v>VERKAUF</v>
      </c>
      <c r="E39" t="s">
        <v>83</v>
      </c>
      <c r="F39" cm="1">
        <f t="array" ref="F3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9" cm="1">
        <f t="array" ref="G3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0" spans="1:7" x14ac:dyDescent="0.3">
      <c r="A40" s="8">
        <v>44743</v>
      </c>
      <c r="B40" s="20">
        <v>2</v>
      </c>
      <c r="C40" t="s">
        <v>72</v>
      </c>
      <c r="D40" t="str">
        <f>+VLOOKUP(C40,DIM_Mitarbeiter!A:D,4,0)</f>
        <v>PROD</v>
      </c>
      <c r="E40" t="s">
        <v>81</v>
      </c>
      <c r="F40" cm="1">
        <f t="array" ref="F4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0" cm="1">
        <f t="array" ref="G4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1" spans="1:7" x14ac:dyDescent="0.3">
      <c r="A41" s="8">
        <v>44743</v>
      </c>
      <c r="B41" s="20">
        <v>2</v>
      </c>
      <c r="C41" t="s">
        <v>72</v>
      </c>
      <c r="D41" t="str">
        <f>+VLOOKUP(C41,DIM_Mitarbeiter!A:D,4,0)</f>
        <v>PROD</v>
      </c>
      <c r="E41" t="s">
        <v>83</v>
      </c>
      <c r="F41" cm="1">
        <f t="array" ref="F4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1" cm="1">
        <f t="array" ref="G4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2" spans="1:7" x14ac:dyDescent="0.3">
      <c r="A42" s="8">
        <v>44743</v>
      </c>
      <c r="B42" s="20">
        <v>2</v>
      </c>
      <c r="C42" s="25" t="s">
        <v>46</v>
      </c>
      <c r="D42" t="str">
        <f>+VLOOKUP(C42,DIM_Mitarbeiter!A:D,4,0)</f>
        <v>PROD</v>
      </c>
      <c r="E42" s="25" t="s">
        <v>81</v>
      </c>
      <c r="F42" cm="1">
        <f t="array" ref="F4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2" cm="1">
        <f t="array" ref="G4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3" spans="1:7" x14ac:dyDescent="0.3">
      <c r="A43" s="8">
        <v>44743</v>
      </c>
      <c r="B43" s="20">
        <v>2</v>
      </c>
      <c r="C43" s="25" t="s">
        <v>46</v>
      </c>
      <c r="D43" t="str">
        <f>+VLOOKUP(C43,DIM_Mitarbeiter!A:D,4,0)</f>
        <v>PROD</v>
      </c>
      <c r="E43" t="s">
        <v>83</v>
      </c>
      <c r="F43" cm="1">
        <f t="array" ref="F4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3" cm="1">
        <f t="array" ref="G4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4" spans="1:7" x14ac:dyDescent="0.3">
      <c r="A44" s="8">
        <v>44743</v>
      </c>
      <c r="B44" s="20">
        <v>2</v>
      </c>
      <c r="C44" s="25" t="s">
        <v>39</v>
      </c>
      <c r="D44" t="str">
        <f>+VLOOKUP(C44,DIM_Mitarbeiter!A:D,4,0)</f>
        <v>VERW</v>
      </c>
      <c r="E44" s="25" t="s">
        <v>81</v>
      </c>
      <c r="F44" cm="1">
        <f t="array" ref="F4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4" cm="1">
        <f t="array" ref="G4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45" spans="1:7" x14ac:dyDescent="0.3">
      <c r="A45" s="8">
        <v>44743</v>
      </c>
      <c r="B45" s="20">
        <v>2</v>
      </c>
      <c r="C45" s="25" t="s">
        <v>39</v>
      </c>
      <c r="D45" t="str">
        <f>+VLOOKUP(C45,DIM_Mitarbeiter!A:D,4,0)</f>
        <v>VERW</v>
      </c>
      <c r="E45" t="s">
        <v>83</v>
      </c>
      <c r="F45" cm="1">
        <f t="array" ref="F4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5" cm="1">
        <f t="array" ref="G4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6" spans="1:7" x14ac:dyDescent="0.3">
      <c r="A46" s="8">
        <v>44743</v>
      </c>
      <c r="B46" s="20">
        <v>3</v>
      </c>
      <c r="C46" s="25" t="s">
        <v>56</v>
      </c>
      <c r="D46" t="str">
        <f>+VLOOKUP(C46,DIM_Mitarbeiter!A:D,4,0)</f>
        <v>VERKAUF</v>
      </c>
      <c r="E46" s="25" t="s">
        <v>83</v>
      </c>
      <c r="F46" cm="1">
        <f t="array" ref="F4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6" cm="1">
        <f t="array" ref="G4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7" spans="1:7" x14ac:dyDescent="0.3">
      <c r="A47" s="8">
        <v>44743</v>
      </c>
      <c r="B47" s="20">
        <v>3</v>
      </c>
      <c r="C47" t="s">
        <v>56</v>
      </c>
      <c r="D47" t="str">
        <f>+VLOOKUP(C47,DIM_Mitarbeiter!A:D,4,0)</f>
        <v>VERKAUF</v>
      </c>
      <c r="E47" t="s">
        <v>81</v>
      </c>
      <c r="F47" cm="1">
        <f t="array" ref="F4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7" cm="1">
        <f t="array" ref="G4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8" spans="1:7" x14ac:dyDescent="0.3">
      <c r="A48" s="8">
        <v>44743</v>
      </c>
      <c r="B48" s="20">
        <v>3</v>
      </c>
      <c r="C48" s="25" t="s">
        <v>43</v>
      </c>
      <c r="D48" t="str">
        <f>+VLOOKUP(C48,DIM_Mitarbeiter!A:D,4,0)</f>
        <v>VERW</v>
      </c>
      <c r="E48" t="s">
        <v>81</v>
      </c>
      <c r="F48" cm="1">
        <f t="array" ref="F4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8" cm="1">
        <f t="array" ref="G4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9" spans="1:7" x14ac:dyDescent="0.3">
      <c r="A49" s="8">
        <v>44743</v>
      </c>
      <c r="B49" s="20">
        <v>3</v>
      </c>
      <c r="C49" s="25" t="s">
        <v>43</v>
      </c>
      <c r="D49" t="str">
        <f>+VLOOKUP(C49,DIM_Mitarbeiter!A:D,4,0)</f>
        <v>VERW</v>
      </c>
      <c r="E49" t="s">
        <v>83</v>
      </c>
      <c r="F49" cm="1">
        <f t="array" ref="F4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9" cm="1">
        <f t="array" ref="G4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0" spans="1:7" x14ac:dyDescent="0.3">
      <c r="A50" s="33">
        <v>44743</v>
      </c>
      <c r="B50" s="20">
        <v>3</v>
      </c>
      <c r="C50" s="25" t="s">
        <v>50</v>
      </c>
      <c r="D50" t="str">
        <f>+VLOOKUP(C50,DIM_Mitarbeiter!A:D,4,0)</f>
        <v>PROD</v>
      </c>
      <c r="E50" s="25" t="s">
        <v>83</v>
      </c>
      <c r="F50" cm="1">
        <f t="array" ref="F5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0" cm="1">
        <f t="array" ref="G5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1" spans="1:7" x14ac:dyDescent="0.3">
      <c r="A51" s="33">
        <v>44743</v>
      </c>
      <c r="B51" s="20">
        <v>3</v>
      </c>
      <c r="C51" t="s">
        <v>50</v>
      </c>
      <c r="D51" t="str">
        <f>+VLOOKUP(C51,DIM_Mitarbeiter!A:D,4,0)</f>
        <v>PROD</v>
      </c>
      <c r="E51" t="s">
        <v>81</v>
      </c>
      <c r="F51" cm="1">
        <f t="array" ref="F5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1" cm="1">
        <f t="array" ref="G5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2" spans="1:7" x14ac:dyDescent="0.3">
      <c r="A52" s="8">
        <v>44743</v>
      </c>
      <c r="B52" s="20">
        <v>3</v>
      </c>
      <c r="C52" t="s">
        <v>66</v>
      </c>
      <c r="D52" t="str">
        <f>+VLOOKUP(C52,DIM_Mitarbeiter!A:D,4,0)</f>
        <v>VERW</v>
      </c>
      <c r="E52" t="s">
        <v>81</v>
      </c>
      <c r="F52" cm="1">
        <f t="array" ref="F5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2" cm="1">
        <f t="array" ref="G5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3" spans="1:7" x14ac:dyDescent="0.3">
      <c r="A53" s="8">
        <v>44743</v>
      </c>
      <c r="B53" s="20">
        <v>3</v>
      </c>
      <c r="C53" t="s">
        <v>66</v>
      </c>
      <c r="D53" t="str">
        <f>+VLOOKUP(C53,DIM_Mitarbeiter!A:D,4,0)</f>
        <v>VERW</v>
      </c>
      <c r="E53" t="s">
        <v>83</v>
      </c>
      <c r="F53" cm="1">
        <f t="array" ref="F5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3" cm="1">
        <f t="array" ref="G5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4" spans="1:7" x14ac:dyDescent="0.3">
      <c r="A54" s="8">
        <v>44743</v>
      </c>
      <c r="B54" s="20">
        <v>3</v>
      </c>
      <c r="C54" t="s">
        <v>60</v>
      </c>
      <c r="D54" t="str">
        <f>+VLOOKUP(C54,DIM_Mitarbeiter!A:D,4,0)</f>
        <v>VERKAUF</v>
      </c>
      <c r="E54" t="s">
        <v>81</v>
      </c>
      <c r="F54" cm="1">
        <f t="array" ref="F5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4" cm="1">
        <f t="array" ref="G5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5" spans="1:7" x14ac:dyDescent="0.3">
      <c r="A55" s="8">
        <v>44743</v>
      </c>
      <c r="B55" s="20">
        <v>3</v>
      </c>
      <c r="C55" t="s">
        <v>60</v>
      </c>
      <c r="D55" t="str">
        <f>+VLOOKUP(C55,DIM_Mitarbeiter!A:D,4,0)</f>
        <v>VERKAUF</v>
      </c>
      <c r="E55" t="s">
        <v>83</v>
      </c>
      <c r="F55" cm="1">
        <f t="array" ref="F5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5" cm="1">
        <f t="array" ref="G5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6" spans="1:7" x14ac:dyDescent="0.3">
      <c r="A56" s="8">
        <v>44743</v>
      </c>
      <c r="B56" s="20">
        <v>3</v>
      </c>
      <c r="C56" t="s">
        <v>69</v>
      </c>
      <c r="D56" t="str">
        <f>+VLOOKUP(C56,DIM_Mitarbeiter!A:D,4,0)</f>
        <v>VERKAUF</v>
      </c>
      <c r="E56" t="s">
        <v>81</v>
      </c>
      <c r="F56" cm="1">
        <f t="array" ref="F5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6" cm="1">
        <f t="array" ref="G5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7" spans="1:7" x14ac:dyDescent="0.3">
      <c r="A57" s="8">
        <v>44743</v>
      </c>
      <c r="B57" s="20">
        <v>3</v>
      </c>
      <c r="C57" t="s">
        <v>69</v>
      </c>
      <c r="D57" t="str">
        <f>+VLOOKUP(C57,DIM_Mitarbeiter!A:D,4,0)</f>
        <v>VERKAUF</v>
      </c>
      <c r="E57" t="s">
        <v>83</v>
      </c>
      <c r="F57" cm="1">
        <f t="array" ref="F5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7" cm="1">
        <f t="array" ref="G5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8" spans="1:7" x14ac:dyDescent="0.3">
      <c r="A58" s="8">
        <v>44743</v>
      </c>
      <c r="B58" s="20">
        <v>3</v>
      </c>
      <c r="C58" t="s">
        <v>53</v>
      </c>
      <c r="D58" t="str">
        <f>+VLOOKUP(C58,DIM_Mitarbeiter!A:D,4,0)</f>
        <v>PROD</v>
      </c>
      <c r="E58" t="s">
        <v>81</v>
      </c>
      <c r="F58" cm="1">
        <f t="array" ref="F5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8" cm="1">
        <f t="array" ref="G5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9" spans="1:7" x14ac:dyDescent="0.3">
      <c r="A59" s="8">
        <v>44743</v>
      </c>
      <c r="B59" s="20">
        <v>3</v>
      </c>
      <c r="C59" t="s">
        <v>53</v>
      </c>
      <c r="D59" t="str">
        <f>+VLOOKUP(C59,DIM_Mitarbeiter!A:D,4,0)</f>
        <v>PROD</v>
      </c>
      <c r="E59" t="s">
        <v>83</v>
      </c>
      <c r="F59" cm="1">
        <f t="array" ref="F5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9" cm="1">
        <f t="array" ref="G5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0" spans="1:7" x14ac:dyDescent="0.3">
      <c r="A60" s="8">
        <v>44743</v>
      </c>
      <c r="B60" s="20">
        <v>3</v>
      </c>
      <c r="C60" t="s">
        <v>63</v>
      </c>
      <c r="D60" t="str">
        <f>+VLOOKUP(C60,DIM_Mitarbeiter!A:D,4,0)</f>
        <v>VERKAUF</v>
      </c>
      <c r="E60" t="s">
        <v>81</v>
      </c>
      <c r="F60" cm="1">
        <f t="array" ref="F6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60" cm="1">
        <f t="array" ref="G6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1" spans="1:7" x14ac:dyDescent="0.3">
      <c r="A61" s="8">
        <v>44743</v>
      </c>
      <c r="B61" s="20">
        <v>3</v>
      </c>
      <c r="C61" t="s">
        <v>63</v>
      </c>
      <c r="D61" t="str">
        <f>+VLOOKUP(C61,DIM_Mitarbeiter!A:D,4,0)</f>
        <v>VERKAUF</v>
      </c>
      <c r="E61" t="s">
        <v>83</v>
      </c>
      <c r="F61" cm="1">
        <f t="array" ref="F6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61" cm="1">
        <f t="array" ref="G6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2" spans="1:7" x14ac:dyDescent="0.3">
      <c r="A62" s="8">
        <v>44743</v>
      </c>
      <c r="B62" s="20">
        <v>3</v>
      </c>
      <c r="C62" t="s">
        <v>72</v>
      </c>
      <c r="D62" t="str">
        <f>+VLOOKUP(C62,DIM_Mitarbeiter!A:D,4,0)</f>
        <v>PROD</v>
      </c>
      <c r="E62" t="s">
        <v>81</v>
      </c>
      <c r="F62" cm="1">
        <f t="array" ref="F6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62" cm="1">
        <f t="array" ref="G6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3" spans="1:7" x14ac:dyDescent="0.3">
      <c r="A63" s="8">
        <v>44743</v>
      </c>
      <c r="B63" s="20">
        <v>3</v>
      </c>
      <c r="C63" t="s">
        <v>72</v>
      </c>
      <c r="D63" t="str">
        <f>+VLOOKUP(C63,DIM_Mitarbeiter!A:D,4,0)</f>
        <v>PROD</v>
      </c>
      <c r="E63" t="s">
        <v>83</v>
      </c>
      <c r="F63" cm="1">
        <f t="array" ref="F6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63" cm="1">
        <f t="array" ref="G6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4" spans="1:7" x14ac:dyDescent="0.3">
      <c r="A64" s="8">
        <v>44743</v>
      </c>
      <c r="B64" s="20">
        <v>3</v>
      </c>
      <c r="C64" s="25" t="s">
        <v>46</v>
      </c>
      <c r="D64" t="str">
        <f>+VLOOKUP(C64,DIM_Mitarbeiter!A:D,4,0)</f>
        <v>PROD</v>
      </c>
      <c r="E64" s="25" t="s">
        <v>81</v>
      </c>
      <c r="F64" cm="1">
        <f t="array" ref="F6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64" cm="1">
        <f t="array" ref="G6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5" spans="1:7" x14ac:dyDescent="0.3">
      <c r="A65" s="8">
        <v>44743</v>
      </c>
      <c r="B65" s="20">
        <v>3</v>
      </c>
      <c r="C65" s="25" t="s">
        <v>46</v>
      </c>
      <c r="D65" t="str">
        <f>+VLOOKUP(C65,DIM_Mitarbeiter!A:D,4,0)</f>
        <v>PROD</v>
      </c>
      <c r="E65" t="s">
        <v>83</v>
      </c>
      <c r="F65" cm="1">
        <f t="array" ref="F6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65" cm="1">
        <f t="array" ref="G6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6" spans="1:7" x14ac:dyDescent="0.3">
      <c r="A66" s="8">
        <v>44743</v>
      </c>
      <c r="B66" s="20">
        <v>3</v>
      </c>
      <c r="C66" s="25" t="s">
        <v>39</v>
      </c>
      <c r="D66" t="str">
        <f>+VLOOKUP(C66,DIM_Mitarbeiter!A:D,4,0)</f>
        <v>VERW</v>
      </c>
      <c r="E66" s="25" t="s">
        <v>81</v>
      </c>
      <c r="F66" cm="1">
        <f t="array" ref="F6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66" cm="1">
        <f t="array" ref="G6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7" spans="1:7" x14ac:dyDescent="0.3">
      <c r="A67" s="8">
        <v>44743</v>
      </c>
      <c r="B67" s="20">
        <v>3</v>
      </c>
      <c r="C67" s="25" t="s">
        <v>39</v>
      </c>
      <c r="D67" t="str">
        <f>+VLOOKUP(C67,DIM_Mitarbeiter!A:D,4,0)</f>
        <v>VERW</v>
      </c>
      <c r="E67" t="s">
        <v>83</v>
      </c>
      <c r="F67" cm="1">
        <f t="array" ref="F6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67" cm="1">
        <f t="array" ref="G6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8" spans="1:7" x14ac:dyDescent="0.3">
      <c r="A68" s="8">
        <v>44743</v>
      </c>
      <c r="B68" s="20">
        <v>4</v>
      </c>
      <c r="C68" t="s">
        <v>56</v>
      </c>
      <c r="D68" t="str">
        <f>+VLOOKUP(C68,DIM_Mitarbeiter!A:D,4,0)</f>
        <v>VERKAUF</v>
      </c>
      <c r="E68" t="s">
        <v>81</v>
      </c>
      <c r="F68" cm="1">
        <f t="array" ref="F6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68" cm="1">
        <f t="array" ref="G6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9" spans="1:7" x14ac:dyDescent="0.3">
      <c r="A69" s="8">
        <v>44743</v>
      </c>
      <c r="B69" s="20">
        <v>4</v>
      </c>
      <c r="C69" t="s">
        <v>56</v>
      </c>
      <c r="D69" t="str">
        <f>+VLOOKUP(C69,DIM_Mitarbeiter!A:D,4,0)</f>
        <v>VERKAUF</v>
      </c>
      <c r="E69" t="s">
        <v>83</v>
      </c>
      <c r="F69" cm="1">
        <f t="array" ref="F6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69" cm="1">
        <f t="array" ref="G6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0" spans="1:7" x14ac:dyDescent="0.3">
      <c r="A70" s="8">
        <v>44743</v>
      </c>
      <c r="B70" s="20">
        <v>4</v>
      </c>
      <c r="C70" s="25" t="s">
        <v>43</v>
      </c>
      <c r="D70" t="str">
        <f>+VLOOKUP(C70,DIM_Mitarbeiter!A:D,4,0)</f>
        <v>VERW</v>
      </c>
      <c r="E70" t="s">
        <v>81</v>
      </c>
      <c r="F70" cm="1">
        <f t="array" ref="F7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0" cm="1">
        <f t="array" ref="G7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1" spans="1:7" x14ac:dyDescent="0.3">
      <c r="A71" s="8">
        <v>44743</v>
      </c>
      <c r="B71" s="20">
        <v>4</v>
      </c>
      <c r="C71" s="25" t="s">
        <v>43</v>
      </c>
      <c r="D71" t="str">
        <f>+VLOOKUP(C71,DIM_Mitarbeiter!A:D,4,0)</f>
        <v>VERW</v>
      </c>
      <c r="E71" t="s">
        <v>83</v>
      </c>
      <c r="F71" cm="1">
        <f t="array" ref="F7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1" cm="1">
        <f t="array" ref="G7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2" spans="1:7" x14ac:dyDescent="0.3">
      <c r="A72" s="33">
        <v>44743</v>
      </c>
      <c r="B72" s="20">
        <v>4</v>
      </c>
      <c r="C72" s="25" t="s">
        <v>50</v>
      </c>
      <c r="D72" t="str">
        <f>+VLOOKUP(C72,DIM_Mitarbeiter!A:D,4,0)</f>
        <v>PROD</v>
      </c>
      <c r="E72" s="25" t="s">
        <v>83</v>
      </c>
      <c r="F72" cm="1">
        <f t="array" ref="F7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2" cm="1">
        <f t="array" ref="G7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3" spans="1:7" x14ac:dyDescent="0.3">
      <c r="A73" s="33">
        <v>44743</v>
      </c>
      <c r="B73" s="20">
        <v>4</v>
      </c>
      <c r="C73" t="s">
        <v>50</v>
      </c>
      <c r="D73" t="str">
        <f>+VLOOKUP(C73,DIM_Mitarbeiter!A:D,4,0)</f>
        <v>PROD</v>
      </c>
      <c r="E73" t="s">
        <v>81</v>
      </c>
      <c r="F73" cm="1">
        <f t="array" ref="F7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3" cm="1">
        <f t="array" ref="G7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4" spans="1:7" x14ac:dyDescent="0.3">
      <c r="A74" s="8">
        <v>44743</v>
      </c>
      <c r="B74" s="20">
        <v>4</v>
      </c>
      <c r="C74" t="s">
        <v>66</v>
      </c>
      <c r="D74" t="str">
        <f>+VLOOKUP(C74,DIM_Mitarbeiter!A:D,4,0)</f>
        <v>VERW</v>
      </c>
      <c r="E74" t="s">
        <v>81</v>
      </c>
      <c r="F74" cm="1">
        <f t="array" ref="F7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4" cm="1">
        <f t="array" ref="G7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5" spans="1:7" x14ac:dyDescent="0.3">
      <c r="A75" s="8">
        <v>44743</v>
      </c>
      <c r="B75" s="20">
        <v>4</v>
      </c>
      <c r="C75" t="s">
        <v>66</v>
      </c>
      <c r="D75" t="str">
        <f>+VLOOKUP(C75,DIM_Mitarbeiter!A:D,4,0)</f>
        <v>VERW</v>
      </c>
      <c r="E75" t="s">
        <v>83</v>
      </c>
      <c r="F75" cm="1">
        <f t="array" ref="F7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5" cm="1">
        <f t="array" ref="G7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6" spans="1:7" x14ac:dyDescent="0.3">
      <c r="A76" s="8">
        <v>44743</v>
      </c>
      <c r="B76" s="20">
        <v>4</v>
      </c>
      <c r="C76" t="s">
        <v>60</v>
      </c>
      <c r="D76" t="str">
        <f>+VLOOKUP(C76,DIM_Mitarbeiter!A:D,4,0)</f>
        <v>VERKAUF</v>
      </c>
      <c r="E76" t="s">
        <v>81</v>
      </c>
      <c r="F76" cm="1">
        <f t="array" ref="F7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6" cm="1">
        <f t="array" ref="G7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7" spans="1:7" x14ac:dyDescent="0.3">
      <c r="A77" s="8">
        <v>44743</v>
      </c>
      <c r="B77" s="20">
        <v>4</v>
      </c>
      <c r="C77" t="s">
        <v>60</v>
      </c>
      <c r="D77" t="str">
        <f>+VLOOKUP(C77,DIM_Mitarbeiter!A:D,4,0)</f>
        <v>VERKAUF</v>
      </c>
      <c r="E77" t="s">
        <v>83</v>
      </c>
      <c r="F77" cm="1">
        <f t="array" ref="F7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7" cm="1">
        <f t="array" ref="G7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8" spans="1:7" x14ac:dyDescent="0.3">
      <c r="A78" s="8">
        <v>44743</v>
      </c>
      <c r="B78" s="20">
        <v>4</v>
      </c>
      <c r="C78" t="s">
        <v>69</v>
      </c>
      <c r="D78" t="str">
        <f>+VLOOKUP(C78,DIM_Mitarbeiter!A:D,4,0)</f>
        <v>VERKAUF</v>
      </c>
      <c r="E78" t="s">
        <v>81</v>
      </c>
      <c r="F78" cm="1">
        <f t="array" ref="F7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8" cm="1">
        <f t="array" ref="G7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9" spans="1:7" x14ac:dyDescent="0.3">
      <c r="A79" s="8">
        <v>44743</v>
      </c>
      <c r="B79" s="20">
        <v>4</v>
      </c>
      <c r="C79" t="s">
        <v>69</v>
      </c>
      <c r="D79" t="str">
        <f>+VLOOKUP(C79,DIM_Mitarbeiter!A:D,4,0)</f>
        <v>VERKAUF</v>
      </c>
      <c r="E79" t="s">
        <v>83</v>
      </c>
      <c r="F79" cm="1">
        <f t="array" ref="F7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9" cm="1">
        <f t="array" ref="G7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80" spans="1:7" x14ac:dyDescent="0.3">
      <c r="A80" s="8">
        <v>44743</v>
      </c>
      <c r="B80" s="20">
        <v>4</v>
      </c>
      <c r="C80" s="25" t="s">
        <v>53</v>
      </c>
      <c r="D80" t="str">
        <f>+VLOOKUP(C80,DIM_Mitarbeiter!A:D,4,0)</f>
        <v>PROD</v>
      </c>
      <c r="E80" s="25" t="s">
        <v>81</v>
      </c>
      <c r="F80" cm="1">
        <f t="array" ref="F8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80" cm="1">
        <f t="array" ref="G8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81" spans="1:7" x14ac:dyDescent="0.3">
      <c r="A81" s="8">
        <v>44743</v>
      </c>
      <c r="B81" s="20">
        <v>4</v>
      </c>
      <c r="C81" t="s">
        <v>53</v>
      </c>
      <c r="D81" t="str">
        <f>+VLOOKUP(C81,DIM_Mitarbeiter!A:D,4,0)</f>
        <v>PROD</v>
      </c>
      <c r="E81" t="s">
        <v>83</v>
      </c>
      <c r="F81" cm="1">
        <f t="array" ref="F8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81" cm="1">
        <f t="array" ref="G8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82" spans="1:7" x14ac:dyDescent="0.3">
      <c r="A82" s="8">
        <v>44743</v>
      </c>
      <c r="B82" s="20">
        <v>4</v>
      </c>
      <c r="C82" t="s">
        <v>63</v>
      </c>
      <c r="D82" t="str">
        <f>+VLOOKUP(C82,DIM_Mitarbeiter!A:D,4,0)</f>
        <v>VERKAUF</v>
      </c>
      <c r="E82" t="s">
        <v>81</v>
      </c>
      <c r="F82" cm="1">
        <f t="array" ref="F8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82" cm="1">
        <f t="array" ref="G8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83" spans="1:7" x14ac:dyDescent="0.3">
      <c r="A83" s="8">
        <v>44743</v>
      </c>
      <c r="B83" s="20">
        <v>4</v>
      </c>
      <c r="C83" t="s">
        <v>63</v>
      </c>
      <c r="D83" t="str">
        <f>+VLOOKUP(C83,DIM_Mitarbeiter!A:D,4,0)</f>
        <v>VERKAUF</v>
      </c>
      <c r="E83" t="s">
        <v>83</v>
      </c>
      <c r="F83" cm="1">
        <f t="array" ref="F8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83" cm="1">
        <f t="array" ref="G8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84" spans="1:7" x14ac:dyDescent="0.3">
      <c r="A84" s="8">
        <v>44743</v>
      </c>
      <c r="B84" s="20">
        <v>4</v>
      </c>
      <c r="C84" t="s">
        <v>72</v>
      </c>
      <c r="D84" t="str">
        <f>+VLOOKUP(C84,DIM_Mitarbeiter!A:D,4,0)</f>
        <v>PROD</v>
      </c>
      <c r="E84" t="s">
        <v>81</v>
      </c>
      <c r="F84" cm="1">
        <f t="array" ref="F8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84" cm="1">
        <f t="array" ref="G8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85" spans="1:7" x14ac:dyDescent="0.3">
      <c r="A85" s="8">
        <v>44743</v>
      </c>
      <c r="B85" s="20">
        <v>4</v>
      </c>
      <c r="C85" t="s">
        <v>72</v>
      </c>
      <c r="D85" t="str">
        <f>+VLOOKUP(C85,DIM_Mitarbeiter!A:D,4,0)</f>
        <v>PROD</v>
      </c>
      <c r="E85" t="s">
        <v>83</v>
      </c>
      <c r="F85" cm="1">
        <f t="array" ref="F8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85" cm="1">
        <f t="array" ref="G8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86" spans="1:7" x14ac:dyDescent="0.3">
      <c r="A86" s="8">
        <v>44743</v>
      </c>
      <c r="B86" s="20">
        <v>4</v>
      </c>
      <c r="C86" s="25" t="s">
        <v>46</v>
      </c>
      <c r="D86" t="str">
        <f>+VLOOKUP(C86,DIM_Mitarbeiter!A:D,4,0)</f>
        <v>PROD</v>
      </c>
      <c r="E86" s="25" t="s">
        <v>83</v>
      </c>
      <c r="F86" cm="1">
        <f t="array" ref="F8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86" cm="1">
        <f t="array" ref="G8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87" spans="1:7" x14ac:dyDescent="0.3">
      <c r="A87" s="8">
        <v>44743</v>
      </c>
      <c r="B87" s="20">
        <v>4</v>
      </c>
      <c r="C87" s="25" t="s">
        <v>46</v>
      </c>
      <c r="D87" t="str">
        <f>+VLOOKUP(C87,DIM_Mitarbeiter!A:D,4,0)</f>
        <v>PROD</v>
      </c>
      <c r="E87" t="s">
        <v>81</v>
      </c>
      <c r="F87" cm="1">
        <f t="array" ref="F8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87" cm="1">
        <f t="array" ref="G8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88" spans="1:7" x14ac:dyDescent="0.3">
      <c r="A88" s="8">
        <v>44743</v>
      </c>
      <c r="B88" s="20">
        <v>4</v>
      </c>
      <c r="C88" s="25" t="s">
        <v>39</v>
      </c>
      <c r="D88" t="str">
        <f>+VLOOKUP(C88,DIM_Mitarbeiter!A:D,4,0)</f>
        <v>VERW</v>
      </c>
      <c r="E88" s="25" t="s">
        <v>83</v>
      </c>
      <c r="F88" cm="1">
        <f t="array" ref="F8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88" cm="1">
        <f t="array" ref="G8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89" spans="1:7" x14ac:dyDescent="0.3">
      <c r="A89" s="8">
        <v>44743</v>
      </c>
      <c r="B89" s="20">
        <v>4</v>
      </c>
      <c r="C89" s="25" t="s">
        <v>39</v>
      </c>
      <c r="D89" t="str">
        <f>+VLOOKUP(C89,DIM_Mitarbeiter!A:D,4,0)</f>
        <v>VERW</v>
      </c>
      <c r="E89" t="s">
        <v>81</v>
      </c>
      <c r="F89" cm="1">
        <f t="array" ref="F8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89" cm="1">
        <f t="array" ref="G8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90" spans="1:7" x14ac:dyDescent="0.3">
      <c r="A90" s="8">
        <v>44743</v>
      </c>
      <c r="B90" s="20">
        <v>5</v>
      </c>
      <c r="C90" t="s">
        <v>56</v>
      </c>
      <c r="D90" t="str">
        <f>+VLOOKUP(C90,DIM_Mitarbeiter!A:D,4,0)</f>
        <v>VERKAUF</v>
      </c>
      <c r="E90" t="s">
        <v>81</v>
      </c>
      <c r="F90" cm="1">
        <f t="array" ref="F9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90" cm="1">
        <f t="array" ref="G9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91" spans="1:7" x14ac:dyDescent="0.3">
      <c r="A91" s="8">
        <v>44743</v>
      </c>
      <c r="B91" s="20">
        <v>5</v>
      </c>
      <c r="C91" t="s">
        <v>56</v>
      </c>
      <c r="D91" t="str">
        <f>+VLOOKUP(C91,DIM_Mitarbeiter!A:D,4,0)</f>
        <v>VERKAUF</v>
      </c>
      <c r="E91" t="s">
        <v>83</v>
      </c>
      <c r="F91" cm="1">
        <f t="array" ref="F9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91" cm="1">
        <f t="array" ref="G9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92" spans="1:7" x14ac:dyDescent="0.3">
      <c r="A92" s="8">
        <v>44743</v>
      </c>
      <c r="B92" s="20">
        <v>5</v>
      </c>
      <c r="C92" s="25" t="s">
        <v>43</v>
      </c>
      <c r="D92" t="str">
        <f>+VLOOKUP(C92,DIM_Mitarbeiter!A:D,4,0)</f>
        <v>VERW</v>
      </c>
      <c r="E92" s="25" t="s">
        <v>81</v>
      </c>
      <c r="F92" cm="1">
        <f t="array" ref="F9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92" cm="1">
        <f t="array" ref="G9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93" spans="1:7" x14ac:dyDescent="0.3">
      <c r="A93" s="8">
        <v>44743</v>
      </c>
      <c r="B93" s="20">
        <v>5</v>
      </c>
      <c r="C93" s="25" t="s">
        <v>43</v>
      </c>
      <c r="D93" t="str">
        <f>+VLOOKUP(C93,DIM_Mitarbeiter!A:D,4,0)</f>
        <v>VERW</v>
      </c>
      <c r="E93" t="s">
        <v>83</v>
      </c>
      <c r="F93" cm="1">
        <f t="array" ref="F9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93" cm="1">
        <f t="array" ref="G9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94" spans="1:7" x14ac:dyDescent="0.3">
      <c r="A94" s="33">
        <v>44743</v>
      </c>
      <c r="B94" s="20">
        <v>5</v>
      </c>
      <c r="C94" s="25" t="s">
        <v>50</v>
      </c>
      <c r="D94" t="str">
        <f>+VLOOKUP(C94,DIM_Mitarbeiter!A:D,4,0)</f>
        <v>PROD</v>
      </c>
      <c r="E94" s="25" t="s">
        <v>81</v>
      </c>
      <c r="F94" cm="1">
        <f t="array" ref="F9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94" cm="1">
        <f t="array" ref="G9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95" spans="1:7" x14ac:dyDescent="0.3">
      <c r="A95" s="33">
        <v>44743</v>
      </c>
      <c r="B95" s="20">
        <v>5</v>
      </c>
      <c r="C95" s="25" t="s">
        <v>50</v>
      </c>
      <c r="D95" t="str">
        <f>+VLOOKUP(C95,DIM_Mitarbeiter!A:D,4,0)</f>
        <v>PROD</v>
      </c>
      <c r="E95" s="25" t="s">
        <v>83</v>
      </c>
      <c r="F95" cm="1">
        <f t="array" ref="F9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95" cm="1">
        <f t="array" ref="G9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96" spans="1:7" x14ac:dyDescent="0.3">
      <c r="A96" s="8">
        <v>44743</v>
      </c>
      <c r="B96" s="20">
        <v>5</v>
      </c>
      <c r="C96" t="s">
        <v>66</v>
      </c>
      <c r="D96" t="str">
        <f>+VLOOKUP(C96,DIM_Mitarbeiter!A:D,4,0)</f>
        <v>VERW</v>
      </c>
      <c r="E96" t="s">
        <v>81</v>
      </c>
      <c r="F96" cm="1">
        <f t="array" ref="F9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96" cm="1">
        <f t="array" ref="G9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97" spans="1:7" x14ac:dyDescent="0.3">
      <c r="A97" s="8">
        <v>44743</v>
      </c>
      <c r="B97" s="20">
        <v>5</v>
      </c>
      <c r="C97" t="s">
        <v>66</v>
      </c>
      <c r="D97" t="str">
        <f>+VLOOKUP(C97,DIM_Mitarbeiter!A:D,4,0)</f>
        <v>VERW</v>
      </c>
      <c r="E97" t="s">
        <v>83</v>
      </c>
      <c r="F97" cm="1">
        <f t="array" ref="F9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97" cm="1">
        <f t="array" ref="G9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98" spans="1:7" x14ac:dyDescent="0.3">
      <c r="A98" s="8">
        <v>44743</v>
      </c>
      <c r="B98" s="20">
        <v>5</v>
      </c>
      <c r="C98" t="s">
        <v>60</v>
      </c>
      <c r="D98" t="str">
        <f>+VLOOKUP(C98,DIM_Mitarbeiter!A:D,4,0)</f>
        <v>VERKAUF</v>
      </c>
      <c r="E98" t="s">
        <v>81</v>
      </c>
      <c r="F98" cm="1">
        <f t="array" ref="F9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98" cm="1">
        <f t="array" ref="G9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99" spans="1:7" x14ac:dyDescent="0.3">
      <c r="A99" s="8">
        <v>44743</v>
      </c>
      <c r="B99" s="20">
        <v>5</v>
      </c>
      <c r="C99" t="s">
        <v>60</v>
      </c>
      <c r="D99" t="str">
        <f>+VLOOKUP(C99,DIM_Mitarbeiter!A:D,4,0)</f>
        <v>VERKAUF</v>
      </c>
      <c r="E99" t="s">
        <v>83</v>
      </c>
      <c r="F99" cm="1">
        <f t="array" ref="F9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99" cm="1">
        <f t="array" ref="G9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00" spans="1:7" x14ac:dyDescent="0.3">
      <c r="A100" s="8">
        <v>44743</v>
      </c>
      <c r="B100" s="20">
        <v>5</v>
      </c>
      <c r="C100" t="s">
        <v>69</v>
      </c>
      <c r="D100" t="str">
        <f>+VLOOKUP(C100,DIM_Mitarbeiter!A:D,4,0)</f>
        <v>VERKAUF</v>
      </c>
      <c r="E100" t="s">
        <v>81</v>
      </c>
      <c r="F100" cm="1">
        <f t="array" ref="F10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00" cm="1">
        <f t="array" ref="G10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01" spans="1:7" x14ac:dyDescent="0.3">
      <c r="A101" s="8">
        <v>44743</v>
      </c>
      <c r="B101" s="20">
        <v>5</v>
      </c>
      <c r="C101" t="s">
        <v>69</v>
      </c>
      <c r="D101" t="str">
        <f>+VLOOKUP(C101,DIM_Mitarbeiter!A:D,4,0)</f>
        <v>VERKAUF</v>
      </c>
      <c r="E101" t="s">
        <v>83</v>
      </c>
      <c r="F101" cm="1">
        <f t="array" ref="F10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01" cm="1">
        <f t="array" ref="G10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02" spans="1:7" x14ac:dyDescent="0.3">
      <c r="A102" s="8">
        <v>44743</v>
      </c>
      <c r="B102" s="20">
        <v>5</v>
      </c>
      <c r="C102" s="25" t="s">
        <v>53</v>
      </c>
      <c r="D102" t="str">
        <f>+VLOOKUP(C102,DIM_Mitarbeiter!A:D,4,0)</f>
        <v>PROD</v>
      </c>
      <c r="E102" s="25" t="s">
        <v>81</v>
      </c>
      <c r="F102" cm="1">
        <f t="array" ref="F10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02" cm="1">
        <f t="array" ref="G10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03" spans="1:7" x14ac:dyDescent="0.3">
      <c r="A103" s="8">
        <v>44743</v>
      </c>
      <c r="B103" s="20">
        <v>5</v>
      </c>
      <c r="C103" t="s">
        <v>53</v>
      </c>
      <c r="D103" t="str">
        <f>+VLOOKUP(C103,DIM_Mitarbeiter!A:D,4,0)</f>
        <v>PROD</v>
      </c>
      <c r="E103" t="s">
        <v>83</v>
      </c>
      <c r="F103" cm="1">
        <f t="array" ref="F10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03" cm="1">
        <f t="array" ref="G10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04" spans="1:7" x14ac:dyDescent="0.3">
      <c r="A104" s="8">
        <v>44743</v>
      </c>
      <c r="B104" s="20">
        <v>5</v>
      </c>
      <c r="C104" t="s">
        <v>63</v>
      </c>
      <c r="D104" t="str">
        <f>+VLOOKUP(C104,DIM_Mitarbeiter!A:D,4,0)</f>
        <v>VERKAUF</v>
      </c>
      <c r="E104" t="s">
        <v>81</v>
      </c>
      <c r="F104" cm="1">
        <f t="array" ref="F10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04" cm="1">
        <f t="array" ref="G10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05" spans="1:7" x14ac:dyDescent="0.3">
      <c r="A105" s="8">
        <v>44743</v>
      </c>
      <c r="B105" s="20">
        <v>5</v>
      </c>
      <c r="C105" t="s">
        <v>63</v>
      </c>
      <c r="D105" t="str">
        <f>+VLOOKUP(C105,DIM_Mitarbeiter!A:D,4,0)</f>
        <v>VERKAUF</v>
      </c>
      <c r="E105" t="s">
        <v>83</v>
      </c>
      <c r="F105" cm="1">
        <f t="array" ref="F10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05" cm="1">
        <f t="array" ref="G10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06" spans="1:7" x14ac:dyDescent="0.3">
      <c r="A106" s="8">
        <v>44743</v>
      </c>
      <c r="B106" s="20">
        <v>5</v>
      </c>
      <c r="C106" t="s">
        <v>72</v>
      </c>
      <c r="D106" t="str">
        <f>+VLOOKUP(C106,DIM_Mitarbeiter!A:D,4,0)</f>
        <v>PROD</v>
      </c>
      <c r="E106" t="s">
        <v>81</v>
      </c>
      <c r="F106" cm="1">
        <f t="array" ref="F10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06" cm="1">
        <f t="array" ref="G10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07" spans="1:7" x14ac:dyDescent="0.3">
      <c r="A107" s="8">
        <v>44743</v>
      </c>
      <c r="B107" s="20">
        <v>5</v>
      </c>
      <c r="C107" t="s">
        <v>72</v>
      </c>
      <c r="D107" t="str">
        <f>+VLOOKUP(C107,DIM_Mitarbeiter!A:D,4,0)</f>
        <v>PROD</v>
      </c>
      <c r="E107" t="s">
        <v>83</v>
      </c>
      <c r="F107" cm="1">
        <f t="array" ref="F10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07" cm="1">
        <f t="array" ref="G10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08" spans="1:7" x14ac:dyDescent="0.3">
      <c r="A108" s="8">
        <v>44743</v>
      </c>
      <c r="B108" s="20">
        <v>5</v>
      </c>
      <c r="C108" s="25" t="s">
        <v>46</v>
      </c>
      <c r="D108" t="str">
        <f>+VLOOKUP(C108,DIM_Mitarbeiter!A:D,4,0)</f>
        <v>PROD</v>
      </c>
      <c r="E108" t="s">
        <v>81</v>
      </c>
      <c r="F108" cm="1">
        <f t="array" ref="F10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08" cm="1">
        <f t="array" ref="G10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09" spans="1:7" x14ac:dyDescent="0.3">
      <c r="A109" s="8">
        <v>44743</v>
      </c>
      <c r="B109" s="20">
        <v>5</v>
      </c>
      <c r="C109" s="25" t="s">
        <v>46</v>
      </c>
      <c r="D109" t="str">
        <f>+VLOOKUP(C109,DIM_Mitarbeiter!A:D,4,0)</f>
        <v>PROD</v>
      </c>
      <c r="E109" t="s">
        <v>83</v>
      </c>
      <c r="F109" cm="1">
        <f t="array" ref="F10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09" cm="1">
        <f t="array" ref="G10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10" spans="1:7" x14ac:dyDescent="0.3">
      <c r="A110" s="8">
        <v>44743</v>
      </c>
      <c r="B110" s="20">
        <v>5</v>
      </c>
      <c r="C110" s="25" t="s">
        <v>39</v>
      </c>
      <c r="D110" t="str">
        <f>+VLOOKUP(C110,DIM_Mitarbeiter!A:D,4,0)</f>
        <v>VERW</v>
      </c>
      <c r="E110" s="25" t="s">
        <v>83</v>
      </c>
      <c r="F110" cm="1">
        <f t="array" ref="F11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10" cm="1">
        <f t="array" ref="G11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11" spans="1:7" x14ac:dyDescent="0.3">
      <c r="A111" s="8">
        <v>44743</v>
      </c>
      <c r="B111" s="20">
        <v>5</v>
      </c>
      <c r="C111" s="25" t="s">
        <v>39</v>
      </c>
      <c r="D111" t="str">
        <f>+VLOOKUP(C111,DIM_Mitarbeiter!A:D,4,0)</f>
        <v>VERW</v>
      </c>
      <c r="E111" t="s">
        <v>81</v>
      </c>
      <c r="F111" cm="1">
        <f t="array" ref="F11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11" cm="1">
        <f t="array" ref="G11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112" spans="1:7" x14ac:dyDescent="0.3">
      <c r="A112" s="8">
        <v>44774</v>
      </c>
      <c r="B112" s="20">
        <v>1</v>
      </c>
      <c r="C112" s="25" t="s">
        <v>56</v>
      </c>
      <c r="D112" t="str">
        <f>+VLOOKUP(C112,DIM_Mitarbeiter!A:D,4,0)</f>
        <v>VERKAUF</v>
      </c>
      <c r="E112" s="25" t="s">
        <v>81</v>
      </c>
      <c r="F112" cm="1">
        <f t="array" ref="F11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12" cm="1">
        <f t="array" ref="G11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13" spans="1:7" x14ac:dyDescent="0.3">
      <c r="A113" s="8">
        <v>44774</v>
      </c>
      <c r="B113" s="20">
        <v>1</v>
      </c>
      <c r="C113" t="s">
        <v>56</v>
      </c>
      <c r="D113" t="str">
        <f>+VLOOKUP(C113,DIM_Mitarbeiter!A:D,4,0)</f>
        <v>VERKAUF</v>
      </c>
      <c r="E113" t="s">
        <v>83</v>
      </c>
      <c r="F113" cm="1">
        <f t="array" ref="F11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13" cm="1">
        <f t="array" ref="G11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14" spans="1:7" x14ac:dyDescent="0.3">
      <c r="A114" s="8">
        <v>44774</v>
      </c>
      <c r="B114" s="20">
        <v>1</v>
      </c>
      <c r="C114" s="25" t="s">
        <v>43</v>
      </c>
      <c r="D114" t="str">
        <f>+VLOOKUP(C114,DIM_Mitarbeiter!A:D,4,0)</f>
        <v>VERW</v>
      </c>
      <c r="E114" s="25" t="s">
        <v>83</v>
      </c>
      <c r="F114" cm="1">
        <f t="array" ref="F11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14" cm="1">
        <f t="array" ref="G11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15" spans="1:7" x14ac:dyDescent="0.3">
      <c r="A115" s="8">
        <v>44774</v>
      </c>
      <c r="B115" s="20">
        <v>1</v>
      </c>
      <c r="C115" s="25" t="s">
        <v>43</v>
      </c>
      <c r="D115" t="str">
        <f>+VLOOKUP(C115,DIM_Mitarbeiter!A:D,4,0)</f>
        <v>VERW</v>
      </c>
      <c r="E115" t="s">
        <v>81</v>
      </c>
      <c r="F115" cm="1">
        <f t="array" ref="F11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15" cm="1">
        <f t="array" ref="G11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2</v>
      </c>
    </row>
    <row r="116" spans="1:7" x14ac:dyDescent="0.3">
      <c r="A116" s="8">
        <v>44774</v>
      </c>
      <c r="B116" s="20">
        <v>1</v>
      </c>
      <c r="C116" s="25" t="s">
        <v>50</v>
      </c>
      <c r="D116" t="str">
        <f>+VLOOKUP(C116,DIM_Mitarbeiter!A:D,4,0)</f>
        <v>PROD</v>
      </c>
      <c r="E116" s="25" t="s">
        <v>83</v>
      </c>
      <c r="F116" cm="1">
        <f t="array" ref="F11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16" cm="1">
        <f t="array" ref="G11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17" spans="1:7" x14ac:dyDescent="0.3">
      <c r="A117" s="8">
        <v>44774</v>
      </c>
      <c r="B117" s="20">
        <v>1</v>
      </c>
      <c r="C117" t="s">
        <v>50</v>
      </c>
      <c r="D117" t="str">
        <f>+VLOOKUP(C117,DIM_Mitarbeiter!A:D,4,0)</f>
        <v>PROD</v>
      </c>
      <c r="E117" t="s">
        <v>81</v>
      </c>
      <c r="F117" cm="1">
        <f t="array" ref="F11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17" cm="1">
        <f t="array" ref="G11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18" spans="1:7" x14ac:dyDescent="0.3">
      <c r="A118" s="8">
        <v>44774</v>
      </c>
      <c r="B118" s="20">
        <v>1</v>
      </c>
      <c r="C118" t="s">
        <v>66</v>
      </c>
      <c r="D118" t="str">
        <f>+VLOOKUP(C118,DIM_Mitarbeiter!A:D,4,0)</f>
        <v>VERW</v>
      </c>
      <c r="E118" t="s">
        <v>81</v>
      </c>
      <c r="F118" cm="1">
        <f t="array" ref="F11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18" cm="1">
        <f t="array" ref="G11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19" spans="1:7" x14ac:dyDescent="0.3">
      <c r="A119" s="8">
        <v>44774</v>
      </c>
      <c r="B119" s="20">
        <v>1</v>
      </c>
      <c r="C119" t="s">
        <v>66</v>
      </c>
      <c r="D119" t="str">
        <f>+VLOOKUP(C119,DIM_Mitarbeiter!A:D,4,0)</f>
        <v>VERW</v>
      </c>
      <c r="E119" t="s">
        <v>83</v>
      </c>
      <c r="F119" cm="1">
        <f t="array" ref="F11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19" cm="1">
        <f t="array" ref="G11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20" spans="1:7" x14ac:dyDescent="0.3">
      <c r="A120" s="8">
        <v>44774</v>
      </c>
      <c r="B120" s="20">
        <v>1</v>
      </c>
      <c r="C120" t="s">
        <v>60</v>
      </c>
      <c r="D120" t="str">
        <f>+VLOOKUP(C120,DIM_Mitarbeiter!A:D,4,0)</f>
        <v>VERKAUF</v>
      </c>
      <c r="E120" t="s">
        <v>81</v>
      </c>
      <c r="F120" cm="1">
        <f t="array" ref="F12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20" cm="1">
        <f t="array" ref="G12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121" spans="1:7" x14ac:dyDescent="0.3">
      <c r="A121" s="8">
        <v>44774</v>
      </c>
      <c r="B121" s="20">
        <v>1</v>
      </c>
      <c r="C121" t="s">
        <v>60</v>
      </c>
      <c r="D121" t="str">
        <f>+VLOOKUP(C121,DIM_Mitarbeiter!A:D,4,0)</f>
        <v>VERKAUF</v>
      </c>
      <c r="E121" t="s">
        <v>83</v>
      </c>
      <c r="F121" cm="1">
        <f t="array" ref="F12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21" cm="1">
        <f t="array" ref="G12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22" spans="1:7" x14ac:dyDescent="0.3">
      <c r="A122" s="8">
        <v>44774</v>
      </c>
      <c r="B122" s="20">
        <v>1</v>
      </c>
      <c r="C122" t="s">
        <v>69</v>
      </c>
      <c r="D122" t="str">
        <f>+VLOOKUP(C122,DIM_Mitarbeiter!A:D,4,0)</f>
        <v>VERKAUF</v>
      </c>
      <c r="E122" t="s">
        <v>81</v>
      </c>
      <c r="F122" cm="1">
        <f t="array" ref="F12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22" cm="1">
        <f t="array" ref="G12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23" spans="1:7" x14ac:dyDescent="0.3">
      <c r="A123" s="8">
        <v>44774</v>
      </c>
      <c r="B123" s="20">
        <v>1</v>
      </c>
      <c r="C123" t="s">
        <v>69</v>
      </c>
      <c r="D123" t="str">
        <f>+VLOOKUP(C123,DIM_Mitarbeiter!A:D,4,0)</f>
        <v>VERKAUF</v>
      </c>
      <c r="E123" t="s">
        <v>83</v>
      </c>
      <c r="F123" cm="1">
        <f t="array" ref="F12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23" cm="1">
        <f t="array" ref="G12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24" spans="1:7" x14ac:dyDescent="0.3">
      <c r="A124" s="8">
        <v>44774</v>
      </c>
      <c r="B124" s="20">
        <v>1</v>
      </c>
      <c r="C124" s="25" t="s">
        <v>53</v>
      </c>
      <c r="D124" t="str">
        <f>+VLOOKUP(C124,DIM_Mitarbeiter!A:D,4,0)</f>
        <v>PROD</v>
      </c>
      <c r="E124" s="25" t="s">
        <v>83</v>
      </c>
      <c r="F124" cm="1">
        <f t="array" ref="F12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24" cm="1">
        <f t="array" ref="G12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25" spans="1:7" x14ac:dyDescent="0.3">
      <c r="A125" s="8">
        <v>44774</v>
      </c>
      <c r="B125" s="20">
        <v>1</v>
      </c>
      <c r="C125" t="s">
        <v>53</v>
      </c>
      <c r="D125" t="str">
        <f>+VLOOKUP(C125,DIM_Mitarbeiter!A:D,4,0)</f>
        <v>PROD</v>
      </c>
      <c r="E125" t="s">
        <v>81</v>
      </c>
      <c r="F125" cm="1">
        <f t="array" ref="F12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25" cm="1">
        <f t="array" ref="G12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26" spans="1:7" x14ac:dyDescent="0.3">
      <c r="A126" s="8">
        <v>44774</v>
      </c>
      <c r="B126" s="20">
        <v>1</v>
      </c>
      <c r="C126" t="s">
        <v>63</v>
      </c>
      <c r="D126" t="str">
        <f>+VLOOKUP(C126,DIM_Mitarbeiter!A:D,4,0)</f>
        <v>VERKAUF</v>
      </c>
      <c r="E126" t="s">
        <v>81</v>
      </c>
      <c r="F126" cm="1">
        <f t="array" ref="F12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26" cm="1">
        <f t="array" ref="G12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27" spans="1:7" x14ac:dyDescent="0.3">
      <c r="A127" s="8">
        <v>44774</v>
      </c>
      <c r="B127" s="20">
        <v>1</v>
      </c>
      <c r="C127" t="s">
        <v>63</v>
      </c>
      <c r="D127" t="str">
        <f>+VLOOKUP(C127,DIM_Mitarbeiter!A:D,4,0)</f>
        <v>VERKAUF</v>
      </c>
      <c r="E127" t="s">
        <v>83</v>
      </c>
      <c r="F127" cm="1">
        <f t="array" ref="F12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27" cm="1">
        <f t="array" ref="G12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28" spans="1:7" x14ac:dyDescent="0.3">
      <c r="A128" s="8">
        <v>44774</v>
      </c>
      <c r="B128" s="20">
        <v>1</v>
      </c>
      <c r="C128" t="s">
        <v>72</v>
      </c>
      <c r="D128" t="str">
        <f>+VLOOKUP(C128,DIM_Mitarbeiter!A:D,4,0)</f>
        <v>PROD</v>
      </c>
      <c r="E128" t="s">
        <v>81</v>
      </c>
      <c r="F128" cm="1">
        <f t="array" ref="F12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28" cm="1">
        <f t="array" ref="G12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29" spans="1:7" x14ac:dyDescent="0.3">
      <c r="A129" s="8">
        <v>44774</v>
      </c>
      <c r="B129" s="20">
        <v>1</v>
      </c>
      <c r="C129" t="s">
        <v>72</v>
      </c>
      <c r="D129" t="str">
        <f>+VLOOKUP(C129,DIM_Mitarbeiter!A:D,4,0)</f>
        <v>PROD</v>
      </c>
      <c r="E129" t="s">
        <v>83</v>
      </c>
      <c r="F129" cm="1">
        <f t="array" ref="F12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29" cm="1">
        <f t="array" ref="G12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30" spans="1:7" x14ac:dyDescent="0.3">
      <c r="A130" s="8">
        <v>44774</v>
      </c>
      <c r="B130" s="20">
        <v>1</v>
      </c>
      <c r="C130" s="25" t="s">
        <v>46</v>
      </c>
      <c r="D130" t="str">
        <f>+VLOOKUP(C130,DIM_Mitarbeiter!A:D,4,0)</f>
        <v>PROD</v>
      </c>
      <c r="E130" t="s">
        <v>81</v>
      </c>
      <c r="F130" cm="1">
        <f t="array" ref="F13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30" cm="1">
        <f t="array" ref="G13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131" spans="1:7" x14ac:dyDescent="0.3">
      <c r="A131" s="8">
        <v>44774</v>
      </c>
      <c r="B131" s="20">
        <v>1</v>
      </c>
      <c r="C131" s="25" t="s">
        <v>46</v>
      </c>
      <c r="D131" t="str">
        <f>+VLOOKUP(C131,DIM_Mitarbeiter!A:D,4,0)</f>
        <v>PROD</v>
      </c>
      <c r="E131" t="s">
        <v>83</v>
      </c>
      <c r="F131" cm="1">
        <f t="array" ref="F13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31" cm="1">
        <f t="array" ref="G13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32" spans="1:7" x14ac:dyDescent="0.3">
      <c r="A132" s="8">
        <v>44774</v>
      </c>
      <c r="B132" s="20">
        <v>1</v>
      </c>
      <c r="C132" s="25" t="s">
        <v>39</v>
      </c>
      <c r="D132" t="str">
        <f>+VLOOKUP(C132,DIM_Mitarbeiter!A:D,4,0)</f>
        <v>VERW</v>
      </c>
      <c r="E132" s="25" t="s">
        <v>81</v>
      </c>
      <c r="F132" cm="1">
        <f t="array" ref="F13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32" cm="1">
        <f t="array" ref="G13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33" spans="1:7" x14ac:dyDescent="0.3">
      <c r="A133" s="8">
        <v>44774</v>
      </c>
      <c r="B133" s="20">
        <v>1</v>
      </c>
      <c r="C133" s="25" t="s">
        <v>39</v>
      </c>
      <c r="D133" t="str">
        <f>+VLOOKUP(C133,DIM_Mitarbeiter!A:D,4,0)</f>
        <v>VERW</v>
      </c>
      <c r="E133" t="s">
        <v>83</v>
      </c>
      <c r="F133" cm="1">
        <f t="array" ref="F13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33" cm="1">
        <f t="array" ref="G13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2</v>
      </c>
    </row>
    <row r="134" spans="1:7" x14ac:dyDescent="0.3">
      <c r="A134" s="8">
        <v>44774</v>
      </c>
      <c r="B134" s="20">
        <v>2</v>
      </c>
      <c r="C134" s="25" t="s">
        <v>56</v>
      </c>
      <c r="D134" t="str">
        <f>+VLOOKUP(C134,DIM_Mitarbeiter!A:D,4,0)</f>
        <v>VERKAUF</v>
      </c>
      <c r="E134" s="25" t="s">
        <v>81</v>
      </c>
      <c r="F134" cm="1">
        <f t="array" ref="F13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34" cm="1">
        <f t="array" ref="G13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35" spans="1:7" x14ac:dyDescent="0.3">
      <c r="A135" s="8">
        <v>44774</v>
      </c>
      <c r="B135" s="20">
        <v>2</v>
      </c>
      <c r="C135" t="s">
        <v>56</v>
      </c>
      <c r="D135" t="str">
        <f>+VLOOKUP(C135,DIM_Mitarbeiter!A:D,4,0)</f>
        <v>VERKAUF</v>
      </c>
      <c r="E135" t="s">
        <v>83</v>
      </c>
      <c r="F135" cm="1">
        <f t="array" ref="F13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35" cm="1">
        <f t="array" ref="G13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36" spans="1:7" x14ac:dyDescent="0.3">
      <c r="A136" s="8">
        <v>44774</v>
      </c>
      <c r="B136" s="20">
        <v>2</v>
      </c>
      <c r="C136" s="25" t="s">
        <v>43</v>
      </c>
      <c r="D136" t="str">
        <f>+VLOOKUP(C136,DIM_Mitarbeiter!A:D,4,0)</f>
        <v>VERW</v>
      </c>
      <c r="E136" s="25" t="s">
        <v>83</v>
      </c>
      <c r="F136" cm="1">
        <f t="array" ref="F13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36" cm="1">
        <f t="array" ref="G13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37" spans="1:7" x14ac:dyDescent="0.3">
      <c r="A137" s="8">
        <v>44774</v>
      </c>
      <c r="B137" s="20">
        <v>2</v>
      </c>
      <c r="C137" s="25" t="s">
        <v>43</v>
      </c>
      <c r="D137" t="str">
        <f>+VLOOKUP(C137,DIM_Mitarbeiter!A:D,4,0)</f>
        <v>VERW</v>
      </c>
      <c r="E137" t="s">
        <v>81</v>
      </c>
      <c r="F137" cm="1">
        <f t="array" ref="F13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37" cm="1">
        <f t="array" ref="G13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2</v>
      </c>
    </row>
    <row r="138" spans="1:7" x14ac:dyDescent="0.3">
      <c r="A138" s="8">
        <v>44774</v>
      </c>
      <c r="B138" s="20">
        <v>2</v>
      </c>
      <c r="C138" t="s">
        <v>50</v>
      </c>
      <c r="D138" t="str">
        <f>+VLOOKUP(C138,DIM_Mitarbeiter!A:D,4,0)</f>
        <v>PROD</v>
      </c>
      <c r="E138" t="s">
        <v>81</v>
      </c>
      <c r="F138" cm="1">
        <f t="array" ref="F13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38" cm="1">
        <f t="array" ref="G13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39" spans="1:7" x14ac:dyDescent="0.3">
      <c r="A139" s="8">
        <v>44774</v>
      </c>
      <c r="B139" s="20">
        <v>2</v>
      </c>
      <c r="C139" t="s">
        <v>50</v>
      </c>
      <c r="D139" t="str">
        <f>+VLOOKUP(C139,DIM_Mitarbeiter!A:D,4,0)</f>
        <v>PROD</v>
      </c>
      <c r="E139" t="s">
        <v>83</v>
      </c>
      <c r="F139" cm="1">
        <f t="array" ref="F13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39" cm="1">
        <f t="array" ref="G13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40" spans="1:7" x14ac:dyDescent="0.3">
      <c r="A140" s="8">
        <v>44774</v>
      </c>
      <c r="B140" s="20">
        <v>2</v>
      </c>
      <c r="C140" t="s">
        <v>66</v>
      </c>
      <c r="D140" t="str">
        <f>+VLOOKUP(C140,DIM_Mitarbeiter!A:D,4,0)</f>
        <v>VERW</v>
      </c>
      <c r="E140" t="s">
        <v>81</v>
      </c>
      <c r="F140" cm="1">
        <f t="array" ref="F14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40" cm="1">
        <f t="array" ref="G14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41" spans="1:7" x14ac:dyDescent="0.3">
      <c r="A141" s="8">
        <v>44774</v>
      </c>
      <c r="B141" s="20">
        <v>2</v>
      </c>
      <c r="C141" t="s">
        <v>66</v>
      </c>
      <c r="D141" t="str">
        <f>+VLOOKUP(C141,DIM_Mitarbeiter!A:D,4,0)</f>
        <v>VERW</v>
      </c>
      <c r="E141" t="s">
        <v>83</v>
      </c>
      <c r="F141" cm="1">
        <f t="array" ref="F14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41" cm="1">
        <f t="array" ref="G14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42" spans="1:7" x14ac:dyDescent="0.3">
      <c r="A142" s="8">
        <v>44774</v>
      </c>
      <c r="B142" s="20">
        <v>2</v>
      </c>
      <c r="C142" t="s">
        <v>60</v>
      </c>
      <c r="D142" t="str">
        <f>+VLOOKUP(C142,DIM_Mitarbeiter!A:D,4,0)</f>
        <v>VERKAUF</v>
      </c>
      <c r="E142" t="s">
        <v>81</v>
      </c>
      <c r="F142" cm="1">
        <f t="array" ref="F14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42" cm="1">
        <f t="array" ref="G14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143" spans="1:7" x14ac:dyDescent="0.3">
      <c r="A143" s="8">
        <v>44774</v>
      </c>
      <c r="B143" s="20">
        <v>2</v>
      </c>
      <c r="C143" t="s">
        <v>60</v>
      </c>
      <c r="D143" t="str">
        <f>+VLOOKUP(C143,DIM_Mitarbeiter!A:D,4,0)</f>
        <v>VERKAUF</v>
      </c>
      <c r="E143" t="s">
        <v>83</v>
      </c>
      <c r="F143" cm="1">
        <f t="array" ref="F14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43" cm="1">
        <f t="array" ref="G14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44" spans="1:7" x14ac:dyDescent="0.3">
      <c r="A144" s="8">
        <v>44774</v>
      </c>
      <c r="B144" s="20">
        <v>2</v>
      </c>
      <c r="C144" t="s">
        <v>69</v>
      </c>
      <c r="D144" t="str">
        <f>+VLOOKUP(C144,DIM_Mitarbeiter!A:D,4,0)</f>
        <v>VERKAUF</v>
      </c>
      <c r="E144" t="s">
        <v>81</v>
      </c>
      <c r="F144" cm="1">
        <f t="array" ref="F14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44" cm="1">
        <f t="array" ref="G14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45" spans="1:7" x14ac:dyDescent="0.3">
      <c r="A145" s="8">
        <v>44774</v>
      </c>
      <c r="B145" s="20">
        <v>2</v>
      </c>
      <c r="C145" t="s">
        <v>69</v>
      </c>
      <c r="D145" t="str">
        <f>+VLOOKUP(C145,DIM_Mitarbeiter!A:D,4,0)</f>
        <v>VERKAUF</v>
      </c>
      <c r="E145" t="s">
        <v>83</v>
      </c>
      <c r="F145" cm="1">
        <f t="array" ref="F14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45" cm="1">
        <f t="array" ref="G14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46" spans="1:7" x14ac:dyDescent="0.3">
      <c r="A146" s="8">
        <v>44774</v>
      </c>
      <c r="B146" s="20">
        <v>2</v>
      </c>
      <c r="C146" s="25" t="s">
        <v>53</v>
      </c>
      <c r="D146" t="str">
        <f>+VLOOKUP(C146,DIM_Mitarbeiter!A:D,4,0)</f>
        <v>PROD</v>
      </c>
      <c r="E146" s="25" t="s">
        <v>81</v>
      </c>
      <c r="F146" cm="1">
        <f t="array" ref="F14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46" cm="1">
        <f t="array" ref="G14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47" spans="1:7" x14ac:dyDescent="0.3">
      <c r="A147" s="8">
        <v>44774</v>
      </c>
      <c r="B147" s="20">
        <v>2</v>
      </c>
      <c r="C147" s="25" t="s">
        <v>53</v>
      </c>
      <c r="D147" t="str">
        <f>+VLOOKUP(C147,DIM_Mitarbeiter!A:D,4,0)</f>
        <v>PROD</v>
      </c>
      <c r="E147" s="25" t="s">
        <v>83</v>
      </c>
      <c r="F147" cm="1">
        <f t="array" ref="F14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47" cm="1">
        <f t="array" ref="G14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48" spans="1:7" x14ac:dyDescent="0.3">
      <c r="A148" s="8">
        <v>44774</v>
      </c>
      <c r="B148" s="20">
        <v>2</v>
      </c>
      <c r="C148" t="s">
        <v>63</v>
      </c>
      <c r="D148" t="str">
        <f>+VLOOKUP(C148,DIM_Mitarbeiter!A:D,4,0)</f>
        <v>VERKAUF</v>
      </c>
      <c r="E148" t="s">
        <v>81</v>
      </c>
      <c r="F148" cm="1">
        <f t="array" ref="F14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48" cm="1">
        <f t="array" ref="G14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49" spans="1:7" x14ac:dyDescent="0.3">
      <c r="A149" s="8">
        <v>44774</v>
      </c>
      <c r="B149" s="20">
        <v>2</v>
      </c>
      <c r="C149" t="s">
        <v>63</v>
      </c>
      <c r="D149" t="str">
        <f>+VLOOKUP(C149,DIM_Mitarbeiter!A:D,4,0)</f>
        <v>VERKAUF</v>
      </c>
      <c r="E149" t="s">
        <v>83</v>
      </c>
      <c r="F149" cm="1">
        <f t="array" ref="F14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49" cm="1">
        <f t="array" ref="G14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50" spans="1:7" x14ac:dyDescent="0.3">
      <c r="A150" s="8">
        <v>44774</v>
      </c>
      <c r="B150" s="20">
        <v>2</v>
      </c>
      <c r="C150" t="s">
        <v>72</v>
      </c>
      <c r="D150" t="str">
        <f>+VLOOKUP(C150,DIM_Mitarbeiter!A:D,4,0)</f>
        <v>PROD</v>
      </c>
      <c r="E150" t="s">
        <v>81</v>
      </c>
      <c r="F150" cm="1">
        <f t="array" ref="F15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50" cm="1">
        <f t="array" ref="G15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51" spans="1:7" x14ac:dyDescent="0.3">
      <c r="A151" s="8">
        <v>44774</v>
      </c>
      <c r="B151" s="20">
        <v>2</v>
      </c>
      <c r="C151" t="s">
        <v>72</v>
      </c>
      <c r="D151" t="str">
        <f>+VLOOKUP(C151,DIM_Mitarbeiter!A:D,4,0)</f>
        <v>PROD</v>
      </c>
      <c r="E151" t="s">
        <v>83</v>
      </c>
      <c r="F151" cm="1">
        <f t="array" ref="F15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51" cm="1">
        <f t="array" ref="G15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52" spans="1:7" x14ac:dyDescent="0.3">
      <c r="A152" s="8">
        <v>44774</v>
      </c>
      <c r="B152" s="20">
        <v>2</v>
      </c>
      <c r="C152" s="25" t="s">
        <v>46</v>
      </c>
      <c r="D152" t="str">
        <f>+VLOOKUP(C152,DIM_Mitarbeiter!A:D,4,0)</f>
        <v>PROD</v>
      </c>
      <c r="E152" s="25" t="s">
        <v>81</v>
      </c>
      <c r="F152" cm="1">
        <f t="array" ref="F15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52" cm="1">
        <f t="array" ref="G15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153" spans="1:7" x14ac:dyDescent="0.3">
      <c r="A153" s="8">
        <v>44774</v>
      </c>
      <c r="B153" s="20">
        <v>2</v>
      </c>
      <c r="C153" s="25" t="s">
        <v>46</v>
      </c>
      <c r="D153" t="str">
        <f>+VLOOKUP(C153,DIM_Mitarbeiter!A:D,4,0)</f>
        <v>PROD</v>
      </c>
      <c r="E153" t="s">
        <v>83</v>
      </c>
      <c r="F153" cm="1">
        <f t="array" ref="F15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53" cm="1">
        <f t="array" ref="G15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54" spans="1:7" x14ac:dyDescent="0.3">
      <c r="A154" s="8">
        <v>44774</v>
      </c>
      <c r="B154" s="20">
        <v>2</v>
      </c>
      <c r="C154" s="25" t="s">
        <v>39</v>
      </c>
      <c r="D154" t="str">
        <f>+VLOOKUP(C154,DIM_Mitarbeiter!A:D,4,0)</f>
        <v>VERW</v>
      </c>
      <c r="E154" s="25" t="s">
        <v>83</v>
      </c>
      <c r="F154" cm="1">
        <f t="array" ref="F15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54" cm="1">
        <f t="array" ref="G15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3</v>
      </c>
    </row>
    <row r="155" spans="1:7" x14ac:dyDescent="0.3">
      <c r="A155" s="8">
        <v>44774</v>
      </c>
      <c r="B155" s="20">
        <v>2</v>
      </c>
      <c r="C155" s="25" t="s">
        <v>39</v>
      </c>
      <c r="D155" t="str">
        <f>+VLOOKUP(C155,DIM_Mitarbeiter!A:D,4,0)</f>
        <v>VERW</v>
      </c>
      <c r="E155" t="s">
        <v>81</v>
      </c>
      <c r="F155" cm="1">
        <f t="array" ref="F15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55" cm="1">
        <f t="array" ref="G15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56" spans="1:7" x14ac:dyDescent="0.3">
      <c r="A156" s="8">
        <v>44774</v>
      </c>
      <c r="B156" s="20">
        <v>3</v>
      </c>
      <c r="C156" s="25" t="s">
        <v>56</v>
      </c>
      <c r="D156" t="str">
        <f>+VLOOKUP(C156,DIM_Mitarbeiter!A:D,4,0)</f>
        <v>VERKAUF</v>
      </c>
      <c r="E156" s="25" t="s">
        <v>81</v>
      </c>
      <c r="F156" cm="1">
        <f t="array" ref="F15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56" cm="1">
        <f t="array" ref="G15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157" spans="1:7" x14ac:dyDescent="0.3">
      <c r="A157" s="8">
        <v>44774</v>
      </c>
      <c r="B157" s="20">
        <v>3</v>
      </c>
      <c r="C157" t="s">
        <v>56</v>
      </c>
      <c r="D157" t="str">
        <f>+VLOOKUP(C157,DIM_Mitarbeiter!A:D,4,0)</f>
        <v>VERKAUF</v>
      </c>
      <c r="E157" t="s">
        <v>83</v>
      </c>
      <c r="F157" cm="1">
        <f t="array" ref="F15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57" cm="1">
        <f t="array" ref="G15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58" spans="1:7" x14ac:dyDescent="0.3">
      <c r="A158" s="8">
        <v>44774</v>
      </c>
      <c r="B158" s="20">
        <v>3</v>
      </c>
      <c r="C158" s="25" t="s">
        <v>43</v>
      </c>
      <c r="D158" t="str">
        <f>+VLOOKUP(C158,DIM_Mitarbeiter!A:D,4,0)</f>
        <v>VERW</v>
      </c>
      <c r="E158" s="25" t="s">
        <v>81</v>
      </c>
      <c r="F158" cm="1">
        <f t="array" ref="F15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58" cm="1">
        <f t="array" ref="G15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159" spans="1:7" x14ac:dyDescent="0.3">
      <c r="A159" s="8">
        <v>44774</v>
      </c>
      <c r="B159" s="20">
        <v>3</v>
      </c>
      <c r="C159" s="25" t="s">
        <v>43</v>
      </c>
      <c r="D159" t="str">
        <f>+VLOOKUP(C159,DIM_Mitarbeiter!A:D,4,0)</f>
        <v>VERW</v>
      </c>
      <c r="E159" s="25" t="s">
        <v>83</v>
      </c>
      <c r="F159" cm="1">
        <f t="array" ref="F15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59" cm="1">
        <f t="array" ref="G15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60" spans="1:7" x14ac:dyDescent="0.3">
      <c r="A160" s="8">
        <v>44774</v>
      </c>
      <c r="B160" s="20">
        <v>3</v>
      </c>
      <c r="C160" t="s">
        <v>50</v>
      </c>
      <c r="D160" t="str">
        <f>+VLOOKUP(C160,DIM_Mitarbeiter!A:D,4,0)</f>
        <v>PROD</v>
      </c>
      <c r="E160" t="s">
        <v>81</v>
      </c>
      <c r="F160" cm="1">
        <f t="array" ref="F16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60" cm="1">
        <f t="array" ref="G16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61" spans="1:7" x14ac:dyDescent="0.3">
      <c r="A161" s="8">
        <v>44774</v>
      </c>
      <c r="B161" s="20">
        <v>3</v>
      </c>
      <c r="C161" t="s">
        <v>50</v>
      </c>
      <c r="D161" t="str">
        <f>+VLOOKUP(C161,DIM_Mitarbeiter!A:D,4,0)</f>
        <v>PROD</v>
      </c>
      <c r="E161" t="s">
        <v>83</v>
      </c>
      <c r="F161" cm="1">
        <f t="array" ref="F16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61" cm="1">
        <f t="array" ref="G16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62" spans="1:7" x14ac:dyDescent="0.3">
      <c r="A162" s="8">
        <v>44774</v>
      </c>
      <c r="B162" s="20">
        <v>3</v>
      </c>
      <c r="C162" t="s">
        <v>66</v>
      </c>
      <c r="D162" t="str">
        <f>+VLOOKUP(C162,DIM_Mitarbeiter!A:D,4,0)</f>
        <v>VERW</v>
      </c>
      <c r="E162" t="s">
        <v>81</v>
      </c>
      <c r="F162" cm="1">
        <f t="array" ref="F16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62" cm="1">
        <f t="array" ref="G16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63" spans="1:7" x14ac:dyDescent="0.3">
      <c r="A163" s="8">
        <v>44774</v>
      </c>
      <c r="B163" s="20">
        <v>3</v>
      </c>
      <c r="C163" t="s">
        <v>66</v>
      </c>
      <c r="D163" t="str">
        <f>+VLOOKUP(C163,DIM_Mitarbeiter!A:D,4,0)</f>
        <v>VERW</v>
      </c>
      <c r="E163" t="s">
        <v>83</v>
      </c>
      <c r="F163" cm="1">
        <f t="array" ref="F16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63" cm="1">
        <f t="array" ref="G16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64" spans="1:7" x14ac:dyDescent="0.3">
      <c r="A164" s="8">
        <v>44774</v>
      </c>
      <c r="B164" s="20">
        <v>3</v>
      </c>
      <c r="C164" t="s">
        <v>60</v>
      </c>
      <c r="D164" t="str">
        <f>+VLOOKUP(C164,DIM_Mitarbeiter!A:D,4,0)</f>
        <v>VERKAUF</v>
      </c>
      <c r="E164" t="s">
        <v>81</v>
      </c>
      <c r="F164" cm="1">
        <f t="array" ref="F16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64" cm="1">
        <f t="array" ref="G16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65" spans="1:7" x14ac:dyDescent="0.3">
      <c r="A165" s="8">
        <v>44774</v>
      </c>
      <c r="B165" s="20">
        <v>3</v>
      </c>
      <c r="C165" t="s">
        <v>60</v>
      </c>
      <c r="D165" t="str">
        <f>+VLOOKUP(C165,DIM_Mitarbeiter!A:D,4,0)</f>
        <v>VERKAUF</v>
      </c>
      <c r="E165" t="s">
        <v>83</v>
      </c>
      <c r="F165" cm="1">
        <f t="array" ref="F16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65" cm="1">
        <f t="array" ref="G16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66" spans="1:7" x14ac:dyDescent="0.3">
      <c r="A166" s="8">
        <v>44774</v>
      </c>
      <c r="B166" s="20">
        <v>3</v>
      </c>
      <c r="C166" t="s">
        <v>69</v>
      </c>
      <c r="D166" t="str">
        <f>+VLOOKUP(C166,DIM_Mitarbeiter!A:D,4,0)</f>
        <v>VERKAUF</v>
      </c>
      <c r="E166" t="s">
        <v>81</v>
      </c>
      <c r="F166" cm="1">
        <f t="array" ref="F16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66" cm="1">
        <f t="array" ref="G16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67" spans="1:7" x14ac:dyDescent="0.3">
      <c r="A167" s="8">
        <v>44774</v>
      </c>
      <c r="B167" s="20">
        <v>3</v>
      </c>
      <c r="C167" t="s">
        <v>69</v>
      </c>
      <c r="D167" t="str">
        <f>+VLOOKUP(C167,DIM_Mitarbeiter!A:D,4,0)</f>
        <v>VERKAUF</v>
      </c>
      <c r="E167" t="s">
        <v>83</v>
      </c>
      <c r="F167" cm="1">
        <f t="array" ref="F16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67" cm="1">
        <f t="array" ref="G16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68" spans="1:7" x14ac:dyDescent="0.3">
      <c r="A168" s="8">
        <v>44774</v>
      </c>
      <c r="B168" s="20">
        <v>3</v>
      </c>
      <c r="C168" t="s">
        <v>53</v>
      </c>
      <c r="D168" t="str">
        <f>+VLOOKUP(C168,DIM_Mitarbeiter!A:D,4,0)</f>
        <v>PROD</v>
      </c>
      <c r="E168" t="s">
        <v>81</v>
      </c>
      <c r="F168" cm="1">
        <f t="array" ref="F16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68" cm="1">
        <f t="array" ref="G16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69" spans="1:7" x14ac:dyDescent="0.3">
      <c r="A169" s="8">
        <v>44774</v>
      </c>
      <c r="B169" s="20">
        <v>3</v>
      </c>
      <c r="C169" t="s">
        <v>53</v>
      </c>
      <c r="D169" t="str">
        <f>+VLOOKUP(C169,DIM_Mitarbeiter!A:D,4,0)</f>
        <v>PROD</v>
      </c>
      <c r="E169" t="s">
        <v>83</v>
      </c>
      <c r="F169" cm="1">
        <f t="array" ref="F16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69" cm="1">
        <f t="array" ref="G16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70" spans="1:7" x14ac:dyDescent="0.3">
      <c r="A170" s="8">
        <v>44774</v>
      </c>
      <c r="B170" s="20">
        <v>3</v>
      </c>
      <c r="C170" t="s">
        <v>63</v>
      </c>
      <c r="D170" t="str">
        <f>+VLOOKUP(C170,DIM_Mitarbeiter!A:D,4,0)</f>
        <v>VERKAUF</v>
      </c>
      <c r="E170" t="s">
        <v>81</v>
      </c>
      <c r="F170" cm="1">
        <f t="array" ref="F17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70" cm="1">
        <f t="array" ref="G17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71" spans="1:7" x14ac:dyDescent="0.3">
      <c r="A171" s="8">
        <v>44774</v>
      </c>
      <c r="B171" s="20">
        <v>3</v>
      </c>
      <c r="C171" t="s">
        <v>63</v>
      </c>
      <c r="D171" t="str">
        <f>+VLOOKUP(C171,DIM_Mitarbeiter!A:D,4,0)</f>
        <v>VERKAUF</v>
      </c>
      <c r="E171" t="s">
        <v>83</v>
      </c>
      <c r="F171" cm="1">
        <f t="array" ref="F17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71" cm="1">
        <f t="array" ref="G17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72" spans="1:7" x14ac:dyDescent="0.3">
      <c r="A172" s="8">
        <v>44774</v>
      </c>
      <c r="B172" s="20">
        <v>3</v>
      </c>
      <c r="C172" t="s">
        <v>72</v>
      </c>
      <c r="D172" t="str">
        <f>+VLOOKUP(C172,DIM_Mitarbeiter!A:D,4,0)</f>
        <v>PROD</v>
      </c>
      <c r="E172" t="s">
        <v>81</v>
      </c>
      <c r="F172" cm="1">
        <f t="array" ref="F17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72" cm="1">
        <f t="array" ref="G17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73" spans="1:7" x14ac:dyDescent="0.3">
      <c r="A173" s="8">
        <v>44774</v>
      </c>
      <c r="B173" s="20">
        <v>3</v>
      </c>
      <c r="C173" t="s">
        <v>72</v>
      </c>
      <c r="D173" t="str">
        <f>+VLOOKUP(C173,DIM_Mitarbeiter!A:D,4,0)</f>
        <v>PROD</v>
      </c>
      <c r="E173" t="s">
        <v>83</v>
      </c>
      <c r="F173" cm="1">
        <f t="array" ref="F17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73" cm="1">
        <f t="array" ref="G17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74" spans="1:7" x14ac:dyDescent="0.3">
      <c r="A174" s="8">
        <v>44774</v>
      </c>
      <c r="B174" s="20">
        <v>3</v>
      </c>
      <c r="C174" s="25" t="s">
        <v>46</v>
      </c>
      <c r="D174" t="str">
        <f>+VLOOKUP(C174,DIM_Mitarbeiter!A:D,4,0)</f>
        <v>PROD</v>
      </c>
      <c r="E174" s="25" t="s">
        <v>81</v>
      </c>
      <c r="F174" cm="1">
        <f t="array" ref="F17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74" cm="1">
        <f t="array" ref="G17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175" spans="1:7" x14ac:dyDescent="0.3">
      <c r="A175" s="8">
        <v>44774</v>
      </c>
      <c r="B175" s="20">
        <v>3</v>
      </c>
      <c r="C175" s="25" t="s">
        <v>46</v>
      </c>
      <c r="D175" t="str">
        <f>+VLOOKUP(C175,DIM_Mitarbeiter!A:D,4,0)</f>
        <v>PROD</v>
      </c>
      <c r="E175" t="s">
        <v>83</v>
      </c>
      <c r="F175" cm="1">
        <f t="array" ref="F17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75" cm="1">
        <f t="array" ref="G17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76" spans="1:7" x14ac:dyDescent="0.3">
      <c r="A176" s="8">
        <v>44774</v>
      </c>
      <c r="B176" s="20">
        <v>3</v>
      </c>
      <c r="C176" s="25" t="s">
        <v>39</v>
      </c>
      <c r="D176" t="str">
        <f>+VLOOKUP(C176,DIM_Mitarbeiter!A:D,4,0)</f>
        <v>VERW</v>
      </c>
      <c r="E176" t="s">
        <v>81</v>
      </c>
      <c r="F176" cm="1">
        <f t="array" ref="F17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76" cm="1">
        <f t="array" ref="G17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77" spans="1:7" x14ac:dyDescent="0.3">
      <c r="A177" s="8">
        <v>44774</v>
      </c>
      <c r="B177" s="20">
        <v>3</v>
      </c>
      <c r="C177" s="25" t="s">
        <v>39</v>
      </c>
      <c r="D177" t="str">
        <f>+VLOOKUP(C177,DIM_Mitarbeiter!A:D,4,0)</f>
        <v>VERW</v>
      </c>
      <c r="E177" t="s">
        <v>83</v>
      </c>
      <c r="F177" cm="1">
        <f t="array" ref="F17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177" cm="1">
        <f t="array" ref="G17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3</v>
      </c>
    </row>
    <row r="178" spans="1:7" x14ac:dyDescent="0.3">
      <c r="A178" s="8">
        <v>44774</v>
      </c>
      <c r="B178" s="20">
        <v>4</v>
      </c>
      <c r="C178" s="25" t="s">
        <v>56</v>
      </c>
      <c r="D178" t="str">
        <f>+VLOOKUP(C178,DIM_Mitarbeiter!A:D,4,0)</f>
        <v>VERKAUF</v>
      </c>
      <c r="E178" s="25" t="s">
        <v>83</v>
      </c>
      <c r="F178" cm="1">
        <f t="array" ref="F17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178" cm="1">
        <f t="array" ref="G17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79" spans="1:7" x14ac:dyDescent="0.3">
      <c r="A179" s="8">
        <v>44774</v>
      </c>
      <c r="B179" s="20">
        <v>4</v>
      </c>
      <c r="C179" t="s">
        <v>56</v>
      </c>
      <c r="D179" t="str">
        <f>+VLOOKUP(C179,DIM_Mitarbeiter!A:D,4,0)</f>
        <v>VERKAUF</v>
      </c>
      <c r="E179" t="s">
        <v>81</v>
      </c>
      <c r="F179" cm="1">
        <f t="array" ref="F17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179" cm="1">
        <f t="array" ref="G17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80" spans="1:7" x14ac:dyDescent="0.3">
      <c r="A180" s="8">
        <v>44774</v>
      </c>
      <c r="B180" s="20">
        <v>4</v>
      </c>
      <c r="C180" s="25" t="s">
        <v>43</v>
      </c>
      <c r="D180" t="str">
        <f>+VLOOKUP(C180,DIM_Mitarbeiter!A:D,4,0)</f>
        <v>VERW</v>
      </c>
      <c r="E180" t="s">
        <v>81</v>
      </c>
      <c r="F180" cm="1">
        <f t="array" ref="F18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180" cm="1">
        <f t="array" ref="G18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181" spans="1:7" x14ac:dyDescent="0.3">
      <c r="A181" s="8">
        <v>44774</v>
      </c>
      <c r="B181" s="20">
        <v>4</v>
      </c>
      <c r="C181" s="25" t="s">
        <v>43</v>
      </c>
      <c r="D181" t="str">
        <f>+VLOOKUP(C181,DIM_Mitarbeiter!A:D,4,0)</f>
        <v>VERW</v>
      </c>
      <c r="E181" t="s">
        <v>83</v>
      </c>
      <c r="F181" cm="1">
        <f t="array" ref="F18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181" cm="1">
        <f t="array" ref="G18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82" spans="1:7" x14ac:dyDescent="0.3">
      <c r="A182" s="8">
        <v>44774</v>
      </c>
      <c r="B182" s="20">
        <v>4</v>
      </c>
      <c r="C182" s="25" t="s">
        <v>50</v>
      </c>
      <c r="D182" t="str">
        <f>+VLOOKUP(C182,DIM_Mitarbeiter!A:D,4,0)</f>
        <v>PROD</v>
      </c>
      <c r="E182" s="25" t="s">
        <v>83</v>
      </c>
      <c r="F182" cm="1">
        <f t="array" ref="F18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182" cm="1">
        <f t="array" ref="G18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83" spans="1:7" x14ac:dyDescent="0.3">
      <c r="A183" s="8">
        <v>44774</v>
      </c>
      <c r="B183" s="20">
        <v>4</v>
      </c>
      <c r="C183" t="s">
        <v>50</v>
      </c>
      <c r="D183" t="str">
        <f>+VLOOKUP(C183,DIM_Mitarbeiter!A:D,4,0)</f>
        <v>PROD</v>
      </c>
      <c r="E183" t="s">
        <v>81</v>
      </c>
      <c r="F183" cm="1">
        <f t="array" ref="F18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183" cm="1">
        <f t="array" ref="G18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84" spans="1:7" x14ac:dyDescent="0.3">
      <c r="A184" s="8">
        <v>44774</v>
      </c>
      <c r="B184" s="20">
        <v>4</v>
      </c>
      <c r="C184" t="s">
        <v>66</v>
      </c>
      <c r="D184" t="str">
        <f>+VLOOKUP(C184,DIM_Mitarbeiter!A:D,4,0)</f>
        <v>VERW</v>
      </c>
      <c r="E184" t="s">
        <v>81</v>
      </c>
      <c r="F184" cm="1">
        <f t="array" ref="F18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184" cm="1">
        <f t="array" ref="G18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85" spans="1:7" x14ac:dyDescent="0.3">
      <c r="A185" s="8">
        <v>44774</v>
      </c>
      <c r="B185" s="20">
        <v>4</v>
      </c>
      <c r="C185" t="s">
        <v>66</v>
      </c>
      <c r="D185" t="str">
        <f>+VLOOKUP(C185,DIM_Mitarbeiter!A:D,4,0)</f>
        <v>VERW</v>
      </c>
      <c r="E185" t="s">
        <v>83</v>
      </c>
      <c r="F185" cm="1">
        <f t="array" ref="F18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185" cm="1">
        <f t="array" ref="G18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86" spans="1:7" x14ac:dyDescent="0.3">
      <c r="A186" s="8">
        <v>44774</v>
      </c>
      <c r="B186" s="20">
        <v>4</v>
      </c>
      <c r="C186" t="s">
        <v>60</v>
      </c>
      <c r="D186" t="str">
        <f>+VLOOKUP(C186,DIM_Mitarbeiter!A:D,4,0)</f>
        <v>VERKAUF</v>
      </c>
      <c r="E186" t="s">
        <v>81</v>
      </c>
      <c r="F186" cm="1">
        <f t="array" ref="F18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186" cm="1">
        <f t="array" ref="G18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87" spans="1:7" x14ac:dyDescent="0.3">
      <c r="A187" s="8">
        <v>44774</v>
      </c>
      <c r="B187" s="20">
        <v>4</v>
      </c>
      <c r="C187" t="s">
        <v>60</v>
      </c>
      <c r="D187" t="str">
        <f>+VLOOKUP(C187,DIM_Mitarbeiter!A:D,4,0)</f>
        <v>VERKAUF</v>
      </c>
      <c r="E187" t="s">
        <v>83</v>
      </c>
      <c r="F187" cm="1">
        <f t="array" ref="F18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187" cm="1">
        <f t="array" ref="G18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88" spans="1:7" x14ac:dyDescent="0.3">
      <c r="A188" s="8">
        <v>44774</v>
      </c>
      <c r="B188" s="20">
        <v>4</v>
      </c>
      <c r="C188" t="s">
        <v>69</v>
      </c>
      <c r="D188" t="str">
        <f>+VLOOKUP(C188,DIM_Mitarbeiter!A:D,4,0)</f>
        <v>VERKAUF</v>
      </c>
      <c r="E188" t="s">
        <v>81</v>
      </c>
      <c r="F188" cm="1">
        <f t="array" ref="F18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188" cm="1">
        <f t="array" ref="G18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89" spans="1:7" x14ac:dyDescent="0.3">
      <c r="A189" s="8">
        <v>44774</v>
      </c>
      <c r="B189" s="20">
        <v>4</v>
      </c>
      <c r="C189" t="s">
        <v>69</v>
      </c>
      <c r="D189" t="str">
        <f>+VLOOKUP(C189,DIM_Mitarbeiter!A:D,4,0)</f>
        <v>VERKAUF</v>
      </c>
      <c r="E189" t="s">
        <v>83</v>
      </c>
      <c r="F189" cm="1">
        <f t="array" ref="F18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189" cm="1">
        <f t="array" ref="G18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90" spans="1:7" x14ac:dyDescent="0.3">
      <c r="A190" s="8">
        <v>44774</v>
      </c>
      <c r="B190" s="20">
        <v>4</v>
      </c>
      <c r="C190" t="s">
        <v>53</v>
      </c>
      <c r="D190" t="str">
        <f>+VLOOKUP(C190,DIM_Mitarbeiter!A:D,4,0)</f>
        <v>PROD</v>
      </c>
      <c r="E190" t="s">
        <v>81</v>
      </c>
      <c r="F190" cm="1">
        <f t="array" ref="F19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190" cm="1">
        <f t="array" ref="G19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91" spans="1:7" x14ac:dyDescent="0.3">
      <c r="A191" s="8">
        <v>44774</v>
      </c>
      <c r="B191" s="20">
        <v>4</v>
      </c>
      <c r="C191" t="s">
        <v>53</v>
      </c>
      <c r="D191" t="str">
        <f>+VLOOKUP(C191,DIM_Mitarbeiter!A:D,4,0)</f>
        <v>PROD</v>
      </c>
      <c r="E191" t="s">
        <v>83</v>
      </c>
      <c r="F191" cm="1">
        <f t="array" ref="F19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191" cm="1">
        <f t="array" ref="G19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92" spans="1:7" x14ac:dyDescent="0.3">
      <c r="A192" s="8">
        <v>44774</v>
      </c>
      <c r="B192" s="20">
        <v>4</v>
      </c>
      <c r="C192" t="s">
        <v>63</v>
      </c>
      <c r="D192" t="str">
        <f>+VLOOKUP(C192,DIM_Mitarbeiter!A:D,4,0)</f>
        <v>VERKAUF</v>
      </c>
      <c r="E192" t="s">
        <v>81</v>
      </c>
      <c r="F192" cm="1">
        <f t="array" ref="F19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192" cm="1">
        <f t="array" ref="G19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93" spans="1:7" x14ac:dyDescent="0.3">
      <c r="A193" s="8">
        <v>44774</v>
      </c>
      <c r="B193" s="20">
        <v>4</v>
      </c>
      <c r="C193" t="s">
        <v>63</v>
      </c>
      <c r="D193" t="str">
        <f>+VLOOKUP(C193,DIM_Mitarbeiter!A:D,4,0)</f>
        <v>VERKAUF</v>
      </c>
      <c r="E193" t="s">
        <v>83</v>
      </c>
      <c r="F193" cm="1">
        <f t="array" ref="F19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193" cm="1">
        <f t="array" ref="G19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94" spans="1:7" x14ac:dyDescent="0.3">
      <c r="A194" s="8">
        <v>44774</v>
      </c>
      <c r="B194" s="20">
        <v>4</v>
      </c>
      <c r="C194" t="s">
        <v>72</v>
      </c>
      <c r="D194" t="str">
        <f>+VLOOKUP(C194,DIM_Mitarbeiter!A:D,4,0)</f>
        <v>PROD</v>
      </c>
      <c r="E194" t="s">
        <v>81</v>
      </c>
      <c r="F194" cm="1">
        <f t="array" ref="F19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194" cm="1">
        <f t="array" ref="G19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95" spans="1:7" x14ac:dyDescent="0.3">
      <c r="A195" s="8">
        <v>44774</v>
      </c>
      <c r="B195" s="20">
        <v>4</v>
      </c>
      <c r="C195" t="s">
        <v>72</v>
      </c>
      <c r="D195" t="str">
        <f>+VLOOKUP(C195,DIM_Mitarbeiter!A:D,4,0)</f>
        <v>PROD</v>
      </c>
      <c r="E195" t="s">
        <v>83</v>
      </c>
      <c r="F195" cm="1">
        <f t="array" ref="F19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195" cm="1">
        <f t="array" ref="G19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96" spans="1:7" x14ac:dyDescent="0.3">
      <c r="A196" s="8">
        <v>44774</v>
      </c>
      <c r="B196" s="20">
        <v>4</v>
      </c>
      <c r="C196" s="25" t="s">
        <v>46</v>
      </c>
      <c r="D196" t="str">
        <f>+VLOOKUP(C196,DIM_Mitarbeiter!A:D,4,0)</f>
        <v>PROD</v>
      </c>
      <c r="E196" s="25" t="s">
        <v>81</v>
      </c>
      <c r="F196" cm="1">
        <f t="array" ref="F19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196" cm="1">
        <f t="array" ref="G19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197" spans="1:7" x14ac:dyDescent="0.3">
      <c r="A197" s="8">
        <v>44774</v>
      </c>
      <c r="B197" s="20">
        <v>4</v>
      </c>
      <c r="C197" s="25" t="s">
        <v>46</v>
      </c>
      <c r="D197" t="str">
        <f>+VLOOKUP(C197,DIM_Mitarbeiter!A:D,4,0)</f>
        <v>PROD</v>
      </c>
      <c r="E197" t="s">
        <v>83</v>
      </c>
      <c r="F197" cm="1">
        <f t="array" ref="F19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197" cm="1">
        <f t="array" ref="G19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98" spans="1:7" x14ac:dyDescent="0.3">
      <c r="A198" s="8">
        <v>44774</v>
      </c>
      <c r="B198" s="20">
        <v>4</v>
      </c>
      <c r="C198" s="25" t="s">
        <v>39</v>
      </c>
      <c r="D198" t="str">
        <f>+VLOOKUP(C198,DIM_Mitarbeiter!A:D,4,0)</f>
        <v>VERW</v>
      </c>
      <c r="E198" t="s">
        <v>81</v>
      </c>
      <c r="F198" cm="1">
        <f t="array" ref="F19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198" cm="1">
        <f t="array" ref="G19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199" spans="1:7" x14ac:dyDescent="0.3">
      <c r="A199" s="8">
        <v>44774</v>
      </c>
      <c r="B199" s="20">
        <v>4</v>
      </c>
      <c r="C199" s="25" t="s">
        <v>39</v>
      </c>
      <c r="D199" t="str">
        <f>+VLOOKUP(C199,DIM_Mitarbeiter!A:D,4,0)</f>
        <v>VERW</v>
      </c>
      <c r="E199" t="s">
        <v>83</v>
      </c>
      <c r="F199" cm="1">
        <f t="array" ref="F19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199" cm="1">
        <f t="array" ref="G19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3</v>
      </c>
    </row>
    <row r="200" spans="1:7" x14ac:dyDescent="0.3">
      <c r="A200" s="8">
        <v>44774</v>
      </c>
      <c r="B200" s="20">
        <v>5</v>
      </c>
      <c r="C200" t="s">
        <v>56</v>
      </c>
      <c r="D200" t="str">
        <f>+VLOOKUP(C200,DIM_Mitarbeiter!A:D,4,0)</f>
        <v>VERKAUF</v>
      </c>
      <c r="E200" t="s">
        <v>81</v>
      </c>
      <c r="F200" cm="1">
        <f t="array" ref="F20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00" cm="1">
        <f t="array" ref="G20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01" spans="1:7" x14ac:dyDescent="0.3">
      <c r="A201" s="8">
        <v>44774</v>
      </c>
      <c r="B201" s="20">
        <v>5</v>
      </c>
      <c r="C201" t="s">
        <v>56</v>
      </c>
      <c r="D201" t="str">
        <f>+VLOOKUP(C201,DIM_Mitarbeiter!A:D,4,0)</f>
        <v>VERKAUF</v>
      </c>
      <c r="E201" t="s">
        <v>83</v>
      </c>
      <c r="F201" cm="1">
        <f t="array" ref="F20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01" cm="1">
        <f t="array" ref="G20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02" spans="1:7" x14ac:dyDescent="0.3">
      <c r="A202" s="8">
        <v>44774</v>
      </c>
      <c r="B202" s="20">
        <v>5</v>
      </c>
      <c r="C202" s="25" t="s">
        <v>43</v>
      </c>
      <c r="D202" t="str">
        <f>+VLOOKUP(C202,DIM_Mitarbeiter!A:D,4,0)</f>
        <v>VERW</v>
      </c>
      <c r="E202" t="s">
        <v>81</v>
      </c>
      <c r="F202" cm="1">
        <f t="array" ref="F20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02" cm="1">
        <f t="array" ref="G20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203" spans="1:7" x14ac:dyDescent="0.3">
      <c r="A203" s="8">
        <v>44774</v>
      </c>
      <c r="B203" s="20">
        <v>5</v>
      </c>
      <c r="C203" s="25" t="s">
        <v>43</v>
      </c>
      <c r="D203" t="str">
        <f>+VLOOKUP(C203,DIM_Mitarbeiter!A:D,4,0)</f>
        <v>VERW</v>
      </c>
      <c r="E203" t="s">
        <v>83</v>
      </c>
      <c r="F203" cm="1">
        <f t="array" ref="F20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03" cm="1">
        <f t="array" ref="G20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04" spans="1:7" x14ac:dyDescent="0.3">
      <c r="A204" s="8">
        <v>44774</v>
      </c>
      <c r="B204" s="20">
        <v>5</v>
      </c>
      <c r="C204" s="25" t="s">
        <v>50</v>
      </c>
      <c r="D204" t="str">
        <f>+VLOOKUP(C204,DIM_Mitarbeiter!A:D,4,0)</f>
        <v>PROD</v>
      </c>
      <c r="E204" s="25" t="s">
        <v>83</v>
      </c>
      <c r="F204" cm="1">
        <f t="array" ref="F20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04" cm="1">
        <f t="array" ref="G20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05" spans="1:7" x14ac:dyDescent="0.3">
      <c r="A205" s="8">
        <v>44774</v>
      </c>
      <c r="B205" s="20">
        <v>5</v>
      </c>
      <c r="C205" t="s">
        <v>50</v>
      </c>
      <c r="D205" t="str">
        <f>+VLOOKUP(C205,DIM_Mitarbeiter!A:D,4,0)</f>
        <v>PROD</v>
      </c>
      <c r="E205" t="s">
        <v>81</v>
      </c>
      <c r="F205" cm="1">
        <f t="array" ref="F20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05" cm="1">
        <f t="array" ref="G20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06" spans="1:7" x14ac:dyDescent="0.3">
      <c r="A206" s="8">
        <v>44774</v>
      </c>
      <c r="B206" s="20">
        <v>5</v>
      </c>
      <c r="C206" t="s">
        <v>66</v>
      </c>
      <c r="D206" t="str">
        <f>+VLOOKUP(C206,DIM_Mitarbeiter!A:D,4,0)</f>
        <v>VERW</v>
      </c>
      <c r="E206" t="s">
        <v>81</v>
      </c>
      <c r="F206" cm="1">
        <f t="array" ref="F20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06" cm="1">
        <f t="array" ref="G20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07" spans="1:7" x14ac:dyDescent="0.3">
      <c r="A207" s="8">
        <v>44774</v>
      </c>
      <c r="B207" s="20">
        <v>5</v>
      </c>
      <c r="C207" t="s">
        <v>66</v>
      </c>
      <c r="D207" t="str">
        <f>+VLOOKUP(C207,DIM_Mitarbeiter!A:D,4,0)</f>
        <v>VERW</v>
      </c>
      <c r="E207" t="s">
        <v>83</v>
      </c>
      <c r="F207" cm="1">
        <f t="array" ref="F20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07" cm="1">
        <f t="array" ref="G20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08" spans="1:7" x14ac:dyDescent="0.3">
      <c r="A208" s="8">
        <v>44774</v>
      </c>
      <c r="B208" s="20">
        <v>5</v>
      </c>
      <c r="C208" t="s">
        <v>60</v>
      </c>
      <c r="D208" t="str">
        <f>+VLOOKUP(C208,DIM_Mitarbeiter!A:D,4,0)</f>
        <v>VERKAUF</v>
      </c>
      <c r="E208" t="s">
        <v>81</v>
      </c>
      <c r="F208" cm="1">
        <f t="array" ref="F20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08" cm="1">
        <f t="array" ref="G20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09" spans="1:7" x14ac:dyDescent="0.3">
      <c r="A209" s="8">
        <v>44774</v>
      </c>
      <c r="B209" s="20">
        <v>5</v>
      </c>
      <c r="C209" t="s">
        <v>60</v>
      </c>
      <c r="D209" t="str">
        <f>+VLOOKUP(C209,DIM_Mitarbeiter!A:D,4,0)</f>
        <v>VERKAUF</v>
      </c>
      <c r="E209" t="s">
        <v>83</v>
      </c>
      <c r="F209" cm="1">
        <f t="array" ref="F20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09" cm="1">
        <f t="array" ref="G20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10" spans="1:7" x14ac:dyDescent="0.3">
      <c r="A210" s="8">
        <v>44774</v>
      </c>
      <c r="B210" s="20">
        <v>5</v>
      </c>
      <c r="C210" t="s">
        <v>69</v>
      </c>
      <c r="D210" t="str">
        <f>+VLOOKUP(C210,DIM_Mitarbeiter!A:D,4,0)</f>
        <v>VERKAUF</v>
      </c>
      <c r="E210" t="s">
        <v>81</v>
      </c>
      <c r="F210" cm="1">
        <f t="array" ref="F21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10" cm="1">
        <f t="array" ref="G21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11" spans="1:7" x14ac:dyDescent="0.3">
      <c r="A211" s="8">
        <v>44774</v>
      </c>
      <c r="B211" s="20">
        <v>5</v>
      </c>
      <c r="C211" t="s">
        <v>69</v>
      </c>
      <c r="D211" t="str">
        <f>+VLOOKUP(C211,DIM_Mitarbeiter!A:D,4,0)</f>
        <v>VERKAUF</v>
      </c>
      <c r="E211" t="s">
        <v>83</v>
      </c>
      <c r="F211" cm="1">
        <f t="array" ref="F21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11" cm="1">
        <f t="array" ref="G21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12" spans="1:7" x14ac:dyDescent="0.3">
      <c r="A212" s="8">
        <v>44774</v>
      </c>
      <c r="B212" s="20">
        <v>5</v>
      </c>
      <c r="C212" s="25" t="s">
        <v>53</v>
      </c>
      <c r="D212" t="str">
        <f>+VLOOKUP(C212,DIM_Mitarbeiter!A:D,4,0)</f>
        <v>PROD</v>
      </c>
      <c r="E212" s="25" t="s">
        <v>81</v>
      </c>
      <c r="F212" cm="1">
        <f t="array" ref="F21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12" cm="1">
        <f t="array" ref="G21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13" spans="1:7" x14ac:dyDescent="0.3">
      <c r="A213" s="8">
        <v>44774</v>
      </c>
      <c r="B213" s="20">
        <v>5</v>
      </c>
      <c r="C213" t="s">
        <v>53</v>
      </c>
      <c r="D213" t="str">
        <f>+VLOOKUP(C213,DIM_Mitarbeiter!A:D,4,0)</f>
        <v>PROD</v>
      </c>
      <c r="E213" t="s">
        <v>83</v>
      </c>
      <c r="F213" cm="1">
        <f t="array" ref="F21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13" cm="1">
        <f t="array" ref="G21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14" spans="1:7" x14ac:dyDescent="0.3">
      <c r="A214" s="8">
        <v>44774</v>
      </c>
      <c r="B214" s="20">
        <v>5</v>
      </c>
      <c r="C214" t="s">
        <v>63</v>
      </c>
      <c r="D214" t="str">
        <f>+VLOOKUP(C214,DIM_Mitarbeiter!A:D,4,0)</f>
        <v>VERKAUF</v>
      </c>
      <c r="E214" t="s">
        <v>81</v>
      </c>
      <c r="F214" cm="1">
        <f t="array" ref="F21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14" cm="1">
        <f t="array" ref="G21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15" spans="1:7" x14ac:dyDescent="0.3">
      <c r="A215" s="8">
        <v>44774</v>
      </c>
      <c r="B215" s="20">
        <v>5</v>
      </c>
      <c r="C215" t="s">
        <v>63</v>
      </c>
      <c r="D215" t="str">
        <f>+VLOOKUP(C215,DIM_Mitarbeiter!A:D,4,0)</f>
        <v>VERKAUF</v>
      </c>
      <c r="E215" t="s">
        <v>83</v>
      </c>
      <c r="F215" cm="1">
        <f t="array" ref="F21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15" cm="1">
        <f t="array" ref="G21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16" spans="1:7" x14ac:dyDescent="0.3">
      <c r="A216" s="8">
        <v>44774</v>
      </c>
      <c r="B216" s="20">
        <v>5</v>
      </c>
      <c r="C216" t="s">
        <v>72</v>
      </c>
      <c r="D216" t="str">
        <f>+VLOOKUP(C216,DIM_Mitarbeiter!A:D,4,0)</f>
        <v>PROD</v>
      </c>
      <c r="E216" t="s">
        <v>81</v>
      </c>
      <c r="F216" cm="1">
        <f t="array" ref="F21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16" cm="1">
        <f t="array" ref="G21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17" spans="1:7" x14ac:dyDescent="0.3">
      <c r="A217" s="8">
        <v>44774</v>
      </c>
      <c r="B217" s="20">
        <v>5</v>
      </c>
      <c r="C217" t="s">
        <v>72</v>
      </c>
      <c r="D217" t="str">
        <f>+VLOOKUP(C217,DIM_Mitarbeiter!A:D,4,0)</f>
        <v>PROD</v>
      </c>
      <c r="E217" t="s">
        <v>83</v>
      </c>
      <c r="F217" cm="1">
        <f t="array" ref="F21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17" cm="1">
        <f t="array" ref="G21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18" spans="1:7" x14ac:dyDescent="0.3">
      <c r="A218" s="8">
        <v>44774</v>
      </c>
      <c r="B218" s="20">
        <v>5</v>
      </c>
      <c r="C218" s="25" t="s">
        <v>46</v>
      </c>
      <c r="D218" t="str">
        <f>+VLOOKUP(C218,DIM_Mitarbeiter!A:D,4,0)</f>
        <v>PROD</v>
      </c>
      <c r="E218" s="25" t="s">
        <v>83</v>
      </c>
      <c r="F218" cm="1">
        <f t="array" ref="F21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18" cm="1">
        <f t="array" ref="G21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19" spans="1:7" x14ac:dyDescent="0.3">
      <c r="A219" s="8">
        <v>44774</v>
      </c>
      <c r="B219" s="20">
        <v>5</v>
      </c>
      <c r="C219" s="25" t="s">
        <v>46</v>
      </c>
      <c r="D219" t="str">
        <f>+VLOOKUP(C219,DIM_Mitarbeiter!A:D,4,0)</f>
        <v>PROD</v>
      </c>
      <c r="E219" t="s">
        <v>81</v>
      </c>
      <c r="F219" cm="1">
        <f t="array" ref="F21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19" cm="1">
        <f t="array" ref="G21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220" spans="1:7" x14ac:dyDescent="0.3">
      <c r="A220" s="8">
        <v>44774</v>
      </c>
      <c r="B220" s="20">
        <v>5</v>
      </c>
      <c r="C220" s="25" t="s">
        <v>39</v>
      </c>
      <c r="D220" t="str">
        <f>+VLOOKUP(C220,DIM_Mitarbeiter!A:D,4,0)</f>
        <v>VERW</v>
      </c>
      <c r="E220" s="25" t="s">
        <v>83</v>
      </c>
      <c r="F220" cm="1">
        <f t="array" ref="F22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20" cm="1">
        <f t="array" ref="G22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3</v>
      </c>
    </row>
    <row r="221" spans="1:7" x14ac:dyDescent="0.3">
      <c r="A221" s="8">
        <v>44774</v>
      </c>
      <c r="B221" s="20">
        <v>5</v>
      </c>
      <c r="C221" s="25" t="s">
        <v>39</v>
      </c>
      <c r="D221" t="str">
        <f>+VLOOKUP(C221,DIM_Mitarbeiter!A:D,4,0)</f>
        <v>VERW</v>
      </c>
      <c r="E221" t="s">
        <v>81</v>
      </c>
      <c r="F221" cm="1">
        <f t="array" ref="F22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21" cm="1">
        <f t="array" ref="G22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22" spans="1:7" x14ac:dyDescent="0.3">
      <c r="A222" s="8">
        <v>44805</v>
      </c>
      <c r="B222" s="20">
        <v>1</v>
      </c>
      <c r="C222" t="s">
        <v>56</v>
      </c>
      <c r="D222" t="str">
        <f>+VLOOKUP(C222,DIM_Mitarbeiter!A:D,4,0)</f>
        <v>VERKAUF</v>
      </c>
      <c r="E222" t="s">
        <v>81</v>
      </c>
      <c r="F222" cm="1">
        <f t="array" ref="F22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22" cm="1">
        <f t="array" ref="G22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23" spans="1:7" x14ac:dyDescent="0.3">
      <c r="A223" s="8">
        <v>44805</v>
      </c>
      <c r="B223" s="20">
        <v>1</v>
      </c>
      <c r="C223" t="s">
        <v>56</v>
      </c>
      <c r="D223" t="str">
        <f>+VLOOKUP(C223,DIM_Mitarbeiter!A:D,4,0)</f>
        <v>VERKAUF</v>
      </c>
      <c r="E223" t="s">
        <v>83</v>
      </c>
      <c r="F223" cm="1">
        <f t="array" ref="F22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23" cm="1">
        <f t="array" ref="G22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24" spans="1:7" x14ac:dyDescent="0.3">
      <c r="A224" s="8">
        <v>44805</v>
      </c>
      <c r="B224" s="20">
        <v>1</v>
      </c>
      <c r="C224" s="25" t="s">
        <v>43</v>
      </c>
      <c r="D224" t="str">
        <f>+VLOOKUP(C224,DIM_Mitarbeiter!A:D,4,0)</f>
        <v>VERW</v>
      </c>
      <c r="E224" t="s">
        <v>81</v>
      </c>
      <c r="F224" cm="1">
        <f t="array" ref="F22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24" cm="1">
        <f t="array" ref="G22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25" spans="1:7" x14ac:dyDescent="0.3">
      <c r="A225" s="8">
        <v>44805</v>
      </c>
      <c r="B225" s="20">
        <v>1</v>
      </c>
      <c r="C225" s="25" t="s">
        <v>43</v>
      </c>
      <c r="D225" t="str">
        <f>+VLOOKUP(C225,DIM_Mitarbeiter!A:D,4,0)</f>
        <v>VERW</v>
      </c>
      <c r="E225" t="s">
        <v>83</v>
      </c>
      <c r="F225" cm="1">
        <f t="array" ref="F22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25" cm="1">
        <f t="array" ref="G22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26" spans="1:7" x14ac:dyDescent="0.3">
      <c r="A226" s="8">
        <v>44805</v>
      </c>
      <c r="B226" s="20">
        <v>1</v>
      </c>
      <c r="C226" s="25" t="s">
        <v>50</v>
      </c>
      <c r="D226" t="str">
        <f>+VLOOKUP(C226,DIM_Mitarbeiter!A:D,4,0)</f>
        <v>PROD</v>
      </c>
      <c r="E226" s="25" t="s">
        <v>81</v>
      </c>
      <c r="F226" cm="1">
        <f t="array" ref="F22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26" cm="1">
        <f t="array" ref="G22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27" spans="1:7" x14ac:dyDescent="0.3">
      <c r="A227" s="8">
        <v>44805</v>
      </c>
      <c r="B227" s="20">
        <v>1</v>
      </c>
      <c r="C227" t="s">
        <v>50</v>
      </c>
      <c r="D227" t="str">
        <f>+VLOOKUP(C227,DIM_Mitarbeiter!A:D,4,0)</f>
        <v>PROD</v>
      </c>
      <c r="E227" t="s">
        <v>83</v>
      </c>
      <c r="F227" cm="1">
        <f t="array" ref="F22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27" cm="1">
        <f t="array" ref="G22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28" spans="1:7" x14ac:dyDescent="0.3">
      <c r="A228" s="8">
        <v>44805</v>
      </c>
      <c r="B228" s="20">
        <v>1</v>
      </c>
      <c r="C228" t="s">
        <v>66</v>
      </c>
      <c r="D228" t="str">
        <f>+VLOOKUP(C228,DIM_Mitarbeiter!A:D,4,0)</f>
        <v>VERW</v>
      </c>
      <c r="E228" t="s">
        <v>81</v>
      </c>
      <c r="F228" cm="1">
        <f t="array" ref="F22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28" cm="1">
        <f t="array" ref="G22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29" spans="1:7" x14ac:dyDescent="0.3">
      <c r="A229" s="8">
        <v>44805</v>
      </c>
      <c r="B229" s="20">
        <v>1</v>
      </c>
      <c r="C229" t="s">
        <v>66</v>
      </c>
      <c r="D229" t="str">
        <f>+VLOOKUP(C229,DIM_Mitarbeiter!A:D,4,0)</f>
        <v>VERW</v>
      </c>
      <c r="E229" t="s">
        <v>83</v>
      </c>
      <c r="F229" cm="1">
        <f t="array" ref="F22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29" cm="1">
        <f t="array" ref="G22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30" spans="1:7" x14ac:dyDescent="0.3">
      <c r="A230" s="8">
        <v>44805</v>
      </c>
      <c r="B230" s="20">
        <v>1</v>
      </c>
      <c r="C230" t="s">
        <v>60</v>
      </c>
      <c r="D230" t="str">
        <f>+VLOOKUP(C230,DIM_Mitarbeiter!A:D,4,0)</f>
        <v>VERKAUF</v>
      </c>
      <c r="E230" t="s">
        <v>81</v>
      </c>
      <c r="F230" cm="1">
        <f t="array" ref="F23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30" cm="1">
        <f t="array" ref="G23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31" spans="1:7" x14ac:dyDescent="0.3">
      <c r="A231" s="8">
        <v>44805</v>
      </c>
      <c r="B231" s="20">
        <v>1</v>
      </c>
      <c r="C231" t="s">
        <v>60</v>
      </c>
      <c r="D231" t="str">
        <f>+VLOOKUP(C231,DIM_Mitarbeiter!A:D,4,0)</f>
        <v>VERKAUF</v>
      </c>
      <c r="E231" t="s">
        <v>83</v>
      </c>
      <c r="F231" cm="1">
        <f t="array" ref="F23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31" cm="1">
        <f t="array" ref="G23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32" spans="1:7" x14ac:dyDescent="0.3">
      <c r="A232" s="8">
        <v>44805</v>
      </c>
      <c r="B232" s="20">
        <v>1</v>
      </c>
      <c r="C232" t="s">
        <v>69</v>
      </c>
      <c r="D232" t="str">
        <f>+VLOOKUP(C232,DIM_Mitarbeiter!A:D,4,0)</f>
        <v>VERKAUF</v>
      </c>
      <c r="E232" t="s">
        <v>81</v>
      </c>
      <c r="F232" cm="1">
        <f t="array" ref="F23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32" cm="1">
        <f t="array" ref="G23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33" spans="1:7" x14ac:dyDescent="0.3">
      <c r="A233" s="8">
        <v>44805</v>
      </c>
      <c r="B233" s="20">
        <v>1</v>
      </c>
      <c r="C233" t="s">
        <v>69</v>
      </c>
      <c r="D233" t="str">
        <f>+VLOOKUP(C233,DIM_Mitarbeiter!A:D,4,0)</f>
        <v>VERKAUF</v>
      </c>
      <c r="E233" t="s">
        <v>83</v>
      </c>
      <c r="F233" cm="1">
        <f t="array" ref="F23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33" cm="1">
        <f t="array" ref="G23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34" spans="1:7" x14ac:dyDescent="0.3">
      <c r="A234" s="8">
        <v>44805</v>
      </c>
      <c r="B234" s="20">
        <v>1</v>
      </c>
      <c r="C234" s="25" t="s">
        <v>53</v>
      </c>
      <c r="D234" t="str">
        <f>+VLOOKUP(C234,DIM_Mitarbeiter!A:D,4,0)</f>
        <v>PROD</v>
      </c>
      <c r="E234" s="25" t="s">
        <v>83</v>
      </c>
      <c r="F234" cm="1">
        <f t="array" ref="F23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34" cm="1">
        <f t="array" ref="G23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35" spans="1:7" x14ac:dyDescent="0.3">
      <c r="A235" s="8">
        <v>44805</v>
      </c>
      <c r="B235" s="20">
        <v>1</v>
      </c>
      <c r="C235" t="s">
        <v>53</v>
      </c>
      <c r="D235" t="str">
        <f>+VLOOKUP(C235,DIM_Mitarbeiter!A:D,4,0)</f>
        <v>PROD</v>
      </c>
      <c r="E235" t="s">
        <v>81</v>
      </c>
      <c r="F235" cm="1">
        <f t="array" ref="F23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35" cm="1">
        <f t="array" ref="G23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236" spans="1:7" x14ac:dyDescent="0.3">
      <c r="A236" s="8">
        <v>44805</v>
      </c>
      <c r="B236" s="20">
        <v>1</v>
      </c>
      <c r="C236" t="s">
        <v>63</v>
      </c>
      <c r="D236" t="str">
        <f>+VLOOKUP(C236,DIM_Mitarbeiter!A:D,4,0)</f>
        <v>VERKAUF</v>
      </c>
      <c r="E236" t="s">
        <v>81</v>
      </c>
      <c r="F236" cm="1">
        <f t="array" ref="F23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36" cm="1">
        <f t="array" ref="G23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37" spans="1:7" x14ac:dyDescent="0.3">
      <c r="A237" s="8">
        <v>44805</v>
      </c>
      <c r="B237" s="20">
        <v>1</v>
      </c>
      <c r="C237" t="s">
        <v>63</v>
      </c>
      <c r="D237" t="str">
        <f>+VLOOKUP(C237,DIM_Mitarbeiter!A:D,4,0)</f>
        <v>VERKAUF</v>
      </c>
      <c r="E237" t="s">
        <v>83</v>
      </c>
      <c r="F237" cm="1">
        <f t="array" ref="F23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37" cm="1">
        <f t="array" ref="G23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38" spans="1:7" x14ac:dyDescent="0.3">
      <c r="A238" s="8">
        <v>44805</v>
      </c>
      <c r="B238" s="20">
        <v>1</v>
      </c>
      <c r="C238" t="s">
        <v>72</v>
      </c>
      <c r="D238" t="str">
        <f>+VLOOKUP(C238,DIM_Mitarbeiter!A:D,4,0)</f>
        <v>PROD</v>
      </c>
      <c r="E238" t="s">
        <v>81</v>
      </c>
      <c r="F238" cm="1">
        <f t="array" ref="F23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38" cm="1">
        <f t="array" ref="G23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39" spans="1:7" x14ac:dyDescent="0.3">
      <c r="A239" s="8">
        <v>44805</v>
      </c>
      <c r="B239" s="20">
        <v>1</v>
      </c>
      <c r="C239" t="s">
        <v>72</v>
      </c>
      <c r="D239" t="str">
        <f>+VLOOKUP(C239,DIM_Mitarbeiter!A:D,4,0)</f>
        <v>PROD</v>
      </c>
      <c r="E239" t="s">
        <v>83</v>
      </c>
      <c r="F239" cm="1">
        <f t="array" ref="F23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39" cm="1">
        <f t="array" ref="G23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40" spans="1:7" x14ac:dyDescent="0.3">
      <c r="A240" s="8">
        <v>44805</v>
      </c>
      <c r="B240" s="20">
        <v>1</v>
      </c>
      <c r="C240" s="25" t="s">
        <v>46</v>
      </c>
      <c r="D240" t="str">
        <f>+VLOOKUP(C240,DIM_Mitarbeiter!A:D,4,0)</f>
        <v>PROD</v>
      </c>
      <c r="E240" t="s">
        <v>81</v>
      </c>
      <c r="F240" cm="1">
        <f t="array" ref="F24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40" cm="1">
        <f t="array" ref="G24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41" spans="1:7" x14ac:dyDescent="0.3">
      <c r="A241" s="33">
        <v>44805</v>
      </c>
      <c r="B241" s="20">
        <v>1</v>
      </c>
      <c r="C241" s="25" t="s">
        <v>46</v>
      </c>
      <c r="D241" t="str">
        <f>+VLOOKUP(C241,DIM_Mitarbeiter!A:D,4,0)</f>
        <v>PROD</v>
      </c>
      <c r="E241" t="s">
        <v>83</v>
      </c>
      <c r="F241" cm="1">
        <f t="array" ref="F24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41" cm="1">
        <f t="array" ref="G24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42" spans="1:7" x14ac:dyDescent="0.3">
      <c r="A242" s="8">
        <v>44805</v>
      </c>
      <c r="B242" s="20">
        <v>1</v>
      </c>
      <c r="C242" s="25" t="s">
        <v>39</v>
      </c>
      <c r="D242" t="str">
        <f>+VLOOKUP(C242,DIM_Mitarbeiter!A:D,4,0)</f>
        <v>VERW</v>
      </c>
      <c r="E242" s="25" t="s">
        <v>81</v>
      </c>
      <c r="F242" cm="1">
        <f t="array" ref="F24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42" cm="1">
        <f t="array" ref="G24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43" spans="1:7" x14ac:dyDescent="0.3">
      <c r="A243" s="8">
        <v>44805</v>
      </c>
      <c r="B243" s="20">
        <v>1</v>
      </c>
      <c r="C243" s="25" t="s">
        <v>39</v>
      </c>
      <c r="D243" t="str">
        <f>+VLOOKUP(C243,DIM_Mitarbeiter!A:D,4,0)</f>
        <v>VERW</v>
      </c>
      <c r="E243" t="s">
        <v>83</v>
      </c>
      <c r="F243" cm="1">
        <f t="array" ref="F24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43" cm="1">
        <f t="array" ref="G24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44" spans="1:7" x14ac:dyDescent="0.3">
      <c r="A244" s="8">
        <v>44805</v>
      </c>
      <c r="B244" s="20">
        <v>2</v>
      </c>
      <c r="C244" s="25" t="s">
        <v>56</v>
      </c>
      <c r="D244" t="str">
        <f>+VLOOKUP(C244,DIM_Mitarbeiter!A:D,4,0)</f>
        <v>VERKAUF</v>
      </c>
      <c r="E244" s="25" t="s">
        <v>81</v>
      </c>
      <c r="F244" cm="1">
        <f t="array" ref="F24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44" cm="1">
        <f t="array" ref="G24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45" spans="1:7" x14ac:dyDescent="0.3">
      <c r="A245" s="8">
        <v>44805</v>
      </c>
      <c r="B245" s="20">
        <v>2</v>
      </c>
      <c r="C245" t="s">
        <v>56</v>
      </c>
      <c r="D245" t="str">
        <f>+VLOOKUP(C245,DIM_Mitarbeiter!A:D,4,0)</f>
        <v>VERKAUF</v>
      </c>
      <c r="E245" t="s">
        <v>83</v>
      </c>
      <c r="F245" cm="1">
        <f t="array" ref="F24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45" cm="1">
        <f t="array" ref="G24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46" spans="1:7" x14ac:dyDescent="0.3">
      <c r="A246" s="8">
        <v>44805</v>
      </c>
      <c r="B246" s="20">
        <v>2</v>
      </c>
      <c r="C246" s="25" t="s">
        <v>43</v>
      </c>
      <c r="D246" t="str">
        <f>+VLOOKUP(C246,DIM_Mitarbeiter!A:D,4,0)</f>
        <v>VERW</v>
      </c>
      <c r="E246" s="25" t="s">
        <v>83</v>
      </c>
      <c r="F246" cm="1">
        <f t="array" ref="F24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46" cm="1">
        <f t="array" ref="G24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47" spans="1:7" x14ac:dyDescent="0.3">
      <c r="A247" s="8">
        <v>44805</v>
      </c>
      <c r="B247" s="20">
        <v>2</v>
      </c>
      <c r="C247" s="25" t="s">
        <v>43</v>
      </c>
      <c r="D247" t="str">
        <f>+VLOOKUP(C247,DIM_Mitarbeiter!A:D,4,0)</f>
        <v>VERW</v>
      </c>
      <c r="E247" t="s">
        <v>81</v>
      </c>
      <c r="F247" cm="1">
        <f t="array" ref="F24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47" cm="1">
        <f t="array" ref="G24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48" spans="1:7" x14ac:dyDescent="0.3">
      <c r="A248" s="8">
        <v>44805</v>
      </c>
      <c r="B248" s="20">
        <v>2</v>
      </c>
      <c r="C248" s="25" t="s">
        <v>50</v>
      </c>
      <c r="D248" t="str">
        <f>+VLOOKUP(C248,DIM_Mitarbeiter!A:D,4,0)</f>
        <v>PROD</v>
      </c>
      <c r="E248" s="25" t="s">
        <v>83</v>
      </c>
      <c r="F248" cm="1">
        <f t="array" ref="F24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48" cm="1">
        <f t="array" ref="G24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49" spans="1:7" x14ac:dyDescent="0.3">
      <c r="A249" s="8">
        <v>44805</v>
      </c>
      <c r="B249" s="20">
        <v>2</v>
      </c>
      <c r="C249" t="s">
        <v>50</v>
      </c>
      <c r="D249" t="str">
        <f>+VLOOKUP(C249,DIM_Mitarbeiter!A:D,4,0)</f>
        <v>PROD</v>
      </c>
      <c r="E249" t="s">
        <v>81</v>
      </c>
      <c r="F249" cm="1">
        <f t="array" ref="F24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49" cm="1">
        <f t="array" ref="G24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50" spans="1:7" x14ac:dyDescent="0.3">
      <c r="A250" s="8">
        <v>44805</v>
      </c>
      <c r="B250" s="20">
        <v>2</v>
      </c>
      <c r="C250" t="s">
        <v>66</v>
      </c>
      <c r="D250" t="str">
        <f>+VLOOKUP(C250,DIM_Mitarbeiter!A:D,4,0)</f>
        <v>VERW</v>
      </c>
      <c r="E250" t="s">
        <v>81</v>
      </c>
      <c r="F250" cm="1">
        <f t="array" ref="F25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50" cm="1">
        <f t="array" ref="G25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51" spans="1:7" x14ac:dyDescent="0.3">
      <c r="A251" s="8">
        <v>44805</v>
      </c>
      <c r="B251" s="20">
        <v>2</v>
      </c>
      <c r="C251" t="s">
        <v>66</v>
      </c>
      <c r="D251" t="str">
        <f>+VLOOKUP(C251,DIM_Mitarbeiter!A:D,4,0)</f>
        <v>VERW</v>
      </c>
      <c r="E251" t="s">
        <v>83</v>
      </c>
      <c r="F251" cm="1">
        <f t="array" ref="F25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51" cm="1">
        <f t="array" ref="G25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52" spans="1:7" x14ac:dyDescent="0.3">
      <c r="A252" s="8">
        <v>44805</v>
      </c>
      <c r="B252" s="20">
        <v>2</v>
      </c>
      <c r="C252" t="s">
        <v>60</v>
      </c>
      <c r="D252" t="str">
        <f>+VLOOKUP(C252,DIM_Mitarbeiter!A:D,4,0)</f>
        <v>VERKAUF</v>
      </c>
      <c r="E252" t="s">
        <v>81</v>
      </c>
      <c r="F252" cm="1">
        <f t="array" ref="F25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52" cm="1">
        <f t="array" ref="G25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53" spans="1:7" x14ac:dyDescent="0.3">
      <c r="A253" s="8">
        <v>44805</v>
      </c>
      <c r="B253" s="20">
        <v>2</v>
      </c>
      <c r="C253" t="s">
        <v>60</v>
      </c>
      <c r="D253" t="str">
        <f>+VLOOKUP(C253,DIM_Mitarbeiter!A:D,4,0)</f>
        <v>VERKAUF</v>
      </c>
      <c r="E253" t="s">
        <v>83</v>
      </c>
      <c r="F253" cm="1">
        <f t="array" ref="F25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53" cm="1">
        <f t="array" ref="G25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54" spans="1:7" x14ac:dyDescent="0.3">
      <c r="A254" s="8">
        <v>44805</v>
      </c>
      <c r="B254" s="20">
        <v>2</v>
      </c>
      <c r="C254" t="s">
        <v>69</v>
      </c>
      <c r="D254" t="str">
        <f>+VLOOKUP(C254,DIM_Mitarbeiter!A:D,4,0)</f>
        <v>VERKAUF</v>
      </c>
      <c r="E254" t="s">
        <v>81</v>
      </c>
      <c r="F254" cm="1">
        <f t="array" ref="F25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54" cm="1">
        <f t="array" ref="G25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55" spans="1:7" x14ac:dyDescent="0.3">
      <c r="A255" s="8">
        <v>44805</v>
      </c>
      <c r="B255" s="20">
        <v>2</v>
      </c>
      <c r="C255" t="s">
        <v>69</v>
      </c>
      <c r="D255" t="str">
        <f>+VLOOKUP(C255,DIM_Mitarbeiter!A:D,4,0)</f>
        <v>VERKAUF</v>
      </c>
      <c r="E255" t="s">
        <v>83</v>
      </c>
      <c r="F255" cm="1">
        <f t="array" ref="F25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55" cm="1">
        <f t="array" ref="G25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56" spans="1:7" x14ac:dyDescent="0.3">
      <c r="A256" s="8">
        <v>44805</v>
      </c>
      <c r="B256" s="20">
        <v>2</v>
      </c>
      <c r="C256" s="25" t="s">
        <v>53</v>
      </c>
      <c r="D256" t="str">
        <f>+VLOOKUP(C256,DIM_Mitarbeiter!A:D,4,0)</f>
        <v>PROD</v>
      </c>
      <c r="E256" s="25" t="s">
        <v>83</v>
      </c>
      <c r="F256" cm="1">
        <f t="array" ref="F25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56" cm="1">
        <f t="array" ref="G25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57" spans="1:7" x14ac:dyDescent="0.3">
      <c r="A257" s="8">
        <v>44805</v>
      </c>
      <c r="B257" s="20">
        <v>2</v>
      </c>
      <c r="C257" t="s">
        <v>53</v>
      </c>
      <c r="D257" t="str">
        <f>+VLOOKUP(C257,DIM_Mitarbeiter!A:D,4,0)</f>
        <v>PROD</v>
      </c>
      <c r="E257" t="s">
        <v>81</v>
      </c>
      <c r="F257" cm="1">
        <f t="array" ref="F25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57" cm="1">
        <f t="array" ref="G25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258" spans="1:7" x14ac:dyDescent="0.3">
      <c r="A258" s="8">
        <v>44805</v>
      </c>
      <c r="B258" s="20">
        <v>2</v>
      </c>
      <c r="C258" t="s">
        <v>63</v>
      </c>
      <c r="D258" t="str">
        <f>+VLOOKUP(C258,DIM_Mitarbeiter!A:D,4,0)</f>
        <v>VERKAUF</v>
      </c>
      <c r="E258" t="s">
        <v>81</v>
      </c>
      <c r="F258" cm="1">
        <f t="array" ref="F25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58" cm="1">
        <f t="array" ref="G25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59" spans="1:7" x14ac:dyDescent="0.3">
      <c r="A259" s="8">
        <v>44805</v>
      </c>
      <c r="B259" s="20">
        <v>2</v>
      </c>
      <c r="C259" t="s">
        <v>63</v>
      </c>
      <c r="D259" t="str">
        <f>+VLOOKUP(C259,DIM_Mitarbeiter!A:D,4,0)</f>
        <v>VERKAUF</v>
      </c>
      <c r="E259" t="s">
        <v>83</v>
      </c>
      <c r="F259" cm="1">
        <f t="array" ref="F25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59" cm="1">
        <f t="array" ref="G25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60" spans="1:7" x14ac:dyDescent="0.3">
      <c r="A260" s="8">
        <v>44805</v>
      </c>
      <c r="B260" s="20">
        <v>2</v>
      </c>
      <c r="C260" t="s">
        <v>72</v>
      </c>
      <c r="D260" t="str">
        <f>+VLOOKUP(C260,DIM_Mitarbeiter!A:D,4,0)</f>
        <v>PROD</v>
      </c>
      <c r="E260" t="s">
        <v>81</v>
      </c>
      <c r="F260" cm="1">
        <f t="array" ref="F26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60" cm="1">
        <f t="array" ref="G26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61" spans="1:7" x14ac:dyDescent="0.3">
      <c r="A261" s="8">
        <v>44805</v>
      </c>
      <c r="B261" s="20">
        <v>2</v>
      </c>
      <c r="C261" t="s">
        <v>72</v>
      </c>
      <c r="D261" t="str">
        <f>+VLOOKUP(C261,DIM_Mitarbeiter!A:D,4,0)</f>
        <v>PROD</v>
      </c>
      <c r="E261" t="s">
        <v>83</v>
      </c>
      <c r="F261" cm="1">
        <f t="array" ref="F26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61" cm="1">
        <f t="array" ref="G26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62" spans="1:7" x14ac:dyDescent="0.3">
      <c r="A262" s="8">
        <v>44805</v>
      </c>
      <c r="B262" s="20">
        <v>2</v>
      </c>
      <c r="C262" s="25" t="s">
        <v>46</v>
      </c>
      <c r="D262" t="str">
        <f>+VLOOKUP(C262,DIM_Mitarbeiter!A:D,4,0)</f>
        <v>PROD</v>
      </c>
      <c r="E262" t="s">
        <v>81</v>
      </c>
      <c r="F262" cm="1">
        <f t="array" ref="F26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62" cm="1">
        <f t="array" ref="G26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63" spans="1:7" x14ac:dyDescent="0.3">
      <c r="A263" s="33">
        <v>44805</v>
      </c>
      <c r="B263" s="20">
        <v>2</v>
      </c>
      <c r="C263" s="25" t="s">
        <v>46</v>
      </c>
      <c r="D263" t="str">
        <f>+VLOOKUP(C263,DIM_Mitarbeiter!A:D,4,0)</f>
        <v>PROD</v>
      </c>
      <c r="E263" t="s">
        <v>83</v>
      </c>
      <c r="F263" cm="1">
        <f t="array" ref="F26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63" cm="1">
        <f t="array" ref="G26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64" spans="1:7" x14ac:dyDescent="0.3">
      <c r="A264" s="8">
        <v>44805</v>
      </c>
      <c r="B264" s="20">
        <v>2</v>
      </c>
      <c r="C264" s="25" t="s">
        <v>39</v>
      </c>
      <c r="D264" t="str">
        <f>+VLOOKUP(C264,DIM_Mitarbeiter!A:D,4,0)</f>
        <v>VERW</v>
      </c>
      <c r="E264" s="25" t="s">
        <v>81</v>
      </c>
      <c r="F264" cm="1">
        <f t="array" ref="F26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64" cm="1">
        <f t="array" ref="G26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65" spans="1:7" x14ac:dyDescent="0.3">
      <c r="A265" s="8">
        <v>44805</v>
      </c>
      <c r="B265" s="20">
        <v>2</v>
      </c>
      <c r="C265" s="25" t="s">
        <v>39</v>
      </c>
      <c r="D265" t="str">
        <f>+VLOOKUP(C265,DIM_Mitarbeiter!A:D,4,0)</f>
        <v>VERW</v>
      </c>
      <c r="E265" t="s">
        <v>83</v>
      </c>
      <c r="F265" cm="1">
        <f t="array" ref="F26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65" cm="1">
        <f t="array" ref="G26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66" spans="1:7" x14ac:dyDescent="0.3">
      <c r="A266" s="8">
        <v>44805</v>
      </c>
      <c r="B266" s="20">
        <v>3</v>
      </c>
      <c r="C266" s="25" t="s">
        <v>56</v>
      </c>
      <c r="D266" t="str">
        <f>+VLOOKUP(C266,DIM_Mitarbeiter!A:D,4,0)</f>
        <v>VERKAUF</v>
      </c>
      <c r="E266" s="25" t="s">
        <v>81</v>
      </c>
      <c r="F266" cm="1">
        <f t="array" ref="F26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66" cm="1">
        <f t="array" ref="G26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67" spans="1:7" x14ac:dyDescent="0.3">
      <c r="A267" s="8">
        <v>44805</v>
      </c>
      <c r="B267" s="20">
        <v>3</v>
      </c>
      <c r="C267" t="s">
        <v>56</v>
      </c>
      <c r="D267" t="str">
        <f>+VLOOKUP(C267,DIM_Mitarbeiter!A:D,4,0)</f>
        <v>VERKAUF</v>
      </c>
      <c r="E267" t="s">
        <v>83</v>
      </c>
      <c r="F267" cm="1">
        <f t="array" ref="F26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67" cm="1">
        <f t="array" ref="G26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68" spans="1:7" x14ac:dyDescent="0.3">
      <c r="A268" s="8">
        <v>44805</v>
      </c>
      <c r="B268" s="20">
        <v>3</v>
      </c>
      <c r="C268" s="25" t="s">
        <v>43</v>
      </c>
      <c r="D268" t="str">
        <f>+VLOOKUP(C268,DIM_Mitarbeiter!A:D,4,0)</f>
        <v>VERW</v>
      </c>
      <c r="E268" s="25" t="s">
        <v>83</v>
      </c>
      <c r="F268" cm="1">
        <f t="array" ref="F26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68" cm="1">
        <f t="array" ref="G26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69" spans="1:7" x14ac:dyDescent="0.3">
      <c r="A269" s="8">
        <v>44805</v>
      </c>
      <c r="B269" s="20">
        <v>3</v>
      </c>
      <c r="C269" s="25" t="s">
        <v>43</v>
      </c>
      <c r="D269" t="str">
        <f>+VLOOKUP(C269,DIM_Mitarbeiter!A:D,4,0)</f>
        <v>VERW</v>
      </c>
      <c r="E269" t="s">
        <v>81</v>
      </c>
      <c r="F269" cm="1">
        <f t="array" ref="F26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69" cm="1">
        <f t="array" ref="G26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70" spans="1:7" x14ac:dyDescent="0.3">
      <c r="A270" s="8">
        <v>44805</v>
      </c>
      <c r="B270" s="20">
        <v>3</v>
      </c>
      <c r="C270" t="s">
        <v>50</v>
      </c>
      <c r="D270" t="str">
        <f>+VLOOKUP(C270,DIM_Mitarbeiter!A:D,4,0)</f>
        <v>PROD</v>
      </c>
      <c r="E270" t="s">
        <v>81</v>
      </c>
      <c r="F270" cm="1">
        <f t="array" ref="F27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70" cm="1">
        <f t="array" ref="G27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71" spans="1:7" x14ac:dyDescent="0.3">
      <c r="A271" s="8">
        <v>44805</v>
      </c>
      <c r="B271" s="20">
        <v>3</v>
      </c>
      <c r="C271" t="s">
        <v>50</v>
      </c>
      <c r="D271" t="str">
        <f>+VLOOKUP(C271,DIM_Mitarbeiter!A:D,4,0)</f>
        <v>PROD</v>
      </c>
      <c r="E271" t="s">
        <v>83</v>
      </c>
      <c r="F271" cm="1">
        <f t="array" ref="F27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71" cm="1">
        <f t="array" ref="G27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72" spans="1:7" x14ac:dyDescent="0.3">
      <c r="A272" s="8">
        <v>44805</v>
      </c>
      <c r="B272" s="20">
        <v>3</v>
      </c>
      <c r="C272" t="s">
        <v>66</v>
      </c>
      <c r="D272" t="str">
        <f>+VLOOKUP(C272,DIM_Mitarbeiter!A:D,4,0)</f>
        <v>VERW</v>
      </c>
      <c r="E272" t="s">
        <v>81</v>
      </c>
      <c r="F272" cm="1">
        <f t="array" ref="F27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72" cm="1">
        <f t="array" ref="G27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73" spans="1:7" x14ac:dyDescent="0.3">
      <c r="A273" s="8">
        <v>44805</v>
      </c>
      <c r="B273" s="20">
        <v>3</v>
      </c>
      <c r="C273" t="s">
        <v>66</v>
      </c>
      <c r="D273" t="str">
        <f>+VLOOKUP(C273,DIM_Mitarbeiter!A:D,4,0)</f>
        <v>VERW</v>
      </c>
      <c r="E273" t="s">
        <v>83</v>
      </c>
      <c r="F273" cm="1">
        <f t="array" ref="F27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73" cm="1">
        <f t="array" ref="G27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74" spans="1:7" x14ac:dyDescent="0.3">
      <c r="A274" s="8">
        <v>44805</v>
      </c>
      <c r="B274" s="20">
        <v>3</v>
      </c>
      <c r="C274" t="s">
        <v>60</v>
      </c>
      <c r="D274" t="str">
        <f>+VLOOKUP(C274,DIM_Mitarbeiter!A:D,4,0)</f>
        <v>VERKAUF</v>
      </c>
      <c r="E274" t="s">
        <v>81</v>
      </c>
      <c r="F274" cm="1">
        <f t="array" ref="F27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74" cm="1">
        <f t="array" ref="G27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75" spans="1:7" x14ac:dyDescent="0.3">
      <c r="A275" s="8">
        <v>44805</v>
      </c>
      <c r="B275" s="20">
        <v>3</v>
      </c>
      <c r="C275" t="s">
        <v>60</v>
      </c>
      <c r="D275" t="str">
        <f>+VLOOKUP(C275,DIM_Mitarbeiter!A:D,4,0)</f>
        <v>VERKAUF</v>
      </c>
      <c r="E275" t="s">
        <v>83</v>
      </c>
      <c r="F275" cm="1">
        <f t="array" ref="F27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75" cm="1">
        <f t="array" ref="G27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76" spans="1:7" x14ac:dyDescent="0.3">
      <c r="A276" s="8">
        <v>44805</v>
      </c>
      <c r="B276" s="20">
        <v>3</v>
      </c>
      <c r="C276" t="s">
        <v>69</v>
      </c>
      <c r="D276" t="str">
        <f>+VLOOKUP(C276,DIM_Mitarbeiter!A:D,4,0)</f>
        <v>VERKAUF</v>
      </c>
      <c r="E276" t="s">
        <v>81</v>
      </c>
      <c r="F276" cm="1">
        <f t="array" ref="F27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76" cm="1">
        <f t="array" ref="G27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77" spans="1:7" x14ac:dyDescent="0.3">
      <c r="A277" s="8">
        <v>44805</v>
      </c>
      <c r="B277" s="20">
        <v>3</v>
      </c>
      <c r="C277" t="s">
        <v>69</v>
      </c>
      <c r="D277" t="str">
        <f>+VLOOKUP(C277,DIM_Mitarbeiter!A:D,4,0)</f>
        <v>VERKAUF</v>
      </c>
      <c r="E277" t="s">
        <v>83</v>
      </c>
      <c r="F277" cm="1">
        <f t="array" ref="F27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77" cm="1">
        <f t="array" ref="G27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78" spans="1:7" x14ac:dyDescent="0.3">
      <c r="A278" s="8">
        <v>44805</v>
      </c>
      <c r="B278" s="20">
        <v>3</v>
      </c>
      <c r="C278" s="25" t="s">
        <v>53</v>
      </c>
      <c r="D278" t="str">
        <f>+VLOOKUP(C278,DIM_Mitarbeiter!A:D,4,0)</f>
        <v>PROD</v>
      </c>
      <c r="E278" s="25" t="s">
        <v>81</v>
      </c>
      <c r="F278" cm="1">
        <f t="array" ref="F27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78" cm="1">
        <f t="array" ref="G27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279" spans="1:7" x14ac:dyDescent="0.3">
      <c r="A279" s="8">
        <v>44805</v>
      </c>
      <c r="B279" s="20">
        <v>3</v>
      </c>
      <c r="C279" s="25" t="s">
        <v>53</v>
      </c>
      <c r="D279" t="str">
        <f>+VLOOKUP(C279,DIM_Mitarbeiter!A:D,4,0)</f>
        <v>PROD</v>
      </c>
      <c r="E279" s="25" t="s">
        <v>83</v>
      </c>
      <c r="F279" cm="1">
        <f t="array" ref="F27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79" cm="1">
        <f t="array" ref="G27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80" spans="1:7" x14ac:dyDescent="0.3">
      <c r="A280" s="8">
        <v>44805</v>
      </c>
      <c r="B280" s="20">
        <v>3</v>
      </c>
      <c r="C280" t="s">
        <v>63</v>
      </c>
      <c r="D280" t="str">
        <f>+VLOOKUP(C280,DIM_Mitarbeiter!A:D,4,0)</f>
        <v>VERKAUF</v>
      </c>
      <c r="E280" t="s">
        <v>81</v>
      </c>
      <c r="F280" cm="1">
        <f t="array" ref="F28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80" cm="1">
        <f t="array" ref="G28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81" spans="1:7" x14ac:dyDescent="0.3">
      <c r="A281" s="8">
        <v>44805</v>
      </c>
      <c r="B281" s="20">
        <v>3</v>
      </c>
      <c r="C281" t="s">
        <v>63</v>
      </c>
      <c r="D281" t="str">
        <f>+VLOOKUP(C281,DIM_Mitarbeiter!A:D,4,0)</f>
        <v>VERKAUF</v>
      </c>
      <c r="E281" t="s">
        <v>83</v>
      </c>
      <c r="F281" cm="1">
        <f t="array" ref="F28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81" cm="1">
        <f t="array" ref="G28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82" spans="1:7" x14ac:dyDescent="0.3">
      <c r="A282" s="8">
        <v>44805</v>
      </c>
      <c r="B282" s="20">
        <v>3</v>
      </c>
      <c r="C282" t="s">
        <v>72</v>
      </c>
      <c r="D282" t="str">
        <f>+VLOOKUP(C282,DIM_Mitarbeiter!A:D,4,0)</f>
        <v>PROD</v>
      </c>
      <c r="E282" t="s">
        <v>81</v>
      </c>
      <c r="F282" cm="1">
        <f t="array" ref="F28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82" cm="1">
        <f t="array" ref="G28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83" spans="1:7" x14ac:dyDescent="0.3">
      <c r="A283" s="8">
        <v>44805</v>
      </c>
      <c r="B283" s="20">
        <v>3</v>
      </c>
      <c r="C283" t="s">
        <v>72</v>
      </c>
      <c r="D283" t="str">
        <f>+VLOOKUP(C283,DIM_Mitarbeiter!A:D,4,0)</f>
        <v>PROD</v>
      </c>
      <c r="E283" t="s">
        <v>83</v>
      </c>
      <c r="F283" cm="1">
        <f t="array" ref="F28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83" cm="1">
        <f t="array" ref="G28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84" spans="1:7" x14ac:dyDescent="0.3">
      <c r="A284" s="8">
        <v>44805</v>
      </c>
      <c r="B284" s="20">
        <v>3</v>
      </c>
      <c r="C284" s="25" t="s">
        <v>46</v>
      </c>
      <c r="D284" t="str">
        <f>+VLOOKUP(C284,DIM_Mitarbeiter!A:D,4,0)</f>
        <v>PROD</v>
      </c>
      <c r="E284" s="25" t="s">
        <v>81</v>
      </c>
      <c r="F284" cm="1">
        <f t="array" ref="F28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84" cm="1">
        <f t="array" ref="G28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85" spans="1:7" x14ac:dyDescent="0.3">
      <c r="A285" s="33">
        <v>44805</v>
      </c>
      <c r="B285" s="20">
        <v>3</v>
      </c>
      <c r="C285" s="25" t="s">
        <v>46</v>
      </c>
      <c r="D285" t="str">
        <f>+VLOOKUP(C285,DIM_Mitarbeiter!A:D,4,0)</f>
        <v>PROD</v>
      </c>
      <c r="E285" t="s">
        <v>83</v>
      </c>
      <c r="F285" cm="1">
        <f t="array" ref="F28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85" cm="1">
        <f t="array" ref="G28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86" spans="1:7" x14ac:dyDescent="0.3">
      <c r="A286" s="8">
        <v>44805</v>
      </c>
      <c r="B286" s="20">
        <v>3</v>
      </c>
      <c r="C286" s="25" t="s">
        <v>39</v>
      </c>
      <c r="D286" t="str">
        <f>+VLOOKUP(C286,DIM_Mitarbeiter!A:D,4,0)</f>
        <v>VERW</v>
      </c>
      <c r="E286" s="25" t="s">
        <v>83</v>
      </c>
      <c r="F286" cm="1">
        <f t="array" ref="F28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86" cm="1">
        <f t="array" ref="G28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87" spans="1:7" x14ac:dyDescent="0.3">
      <c r="A287" s="8">
        <v>44805</v>
      </c>
      <c r="B287" s="20">
        <v>3</v>
      </c>
      <c r="C287" s="25" t="s">
        <v>39</v>
      </c>
      <c r="D287" t="str">
        <f>+VLOOKUP(C287,DIM_Mitarbeiter!A:D,4,0)</f>
        <v>VERW</v>
      </c>
      <c r="E287" t="s">
        <v>81</v>
      </c>
      <c r="F287" cm="1">
        <f t="array" ref="F28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287" cm="1">
        <f t="array" ref="G28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88" spans="1:7" x14ac:dyDescent="0.3">
      <c r="A288" s="8">
        <v>44805</v>
      </c>
      <c r="B288" s="20">
        <v>4</v>
      </c>
      <c r="C288" s="25" t="s">
        <v>56</v>
      </c>
      <c r="D288" t="str">
        <f>+VLOOKUP(C288,DIM_Mitarbeiter!A:D,4,0)</f>
        <v>VERKAUF</v>
      </c>
      <c r="E288" s="25" t="s">
        <v>81</v>
      </c>
      <c r="F288" cm="1">
        <f t="array" ref="F28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288" cm="1">
        <f t="array" ref="G28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89" spans="1:7" x14ac:dyDescent="0.3">
      <c r="A289" s="8">
        <v>44805</v>
      </c>
      <c r="B289" s="20">
        <v>4</v>
      </c>
      <c r="C289" t="s">
        <v>56</v>
      </c>
      <c r="D289" t="str">
        <f>+VLOOKUP(C289,DIM_Mitarbeiter!A:D,4,0)</f>
        <v>VERKAUF</v>
      </c>
      <c r="E289" t="s">
        <v>83</v>
      </c>
      <c r="F289" cm="1">
        <f t="array" ref="F28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289" cm="1">
        <f t="array" ref="G28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90" spans="1:7" x14ac:dyDescent="0.3">
      <c r="A290" s="8">
        <v>44805</v>
      </c>
      <c r="B290" s="20">
        <v>4</v>
      </c>
      <c r="C290" s="25" t="s">
        <v>43</v>
      </c>
      <c r="D290" t="str">
        <f>+VLOOKUP(C290,DIM_Mitarbeiter!A:D,4,0)</f>
        <v>VERW</v>
      </c>
      <c r="E290" s="25" t="s">
        <v>81</v>
      </c>
      <c r="F290" cm="1">
        <f t="array" ref="F29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290" cm="1">
        <f t="array" ref="G29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91" spans="1:7" x14ac:dyDescent="0.3">
      <c r="A291" s="8">
        <v>44805</v>
      </c>
      <c r="B291" s="20">
        <v>4</v>
      </c>
      <c r="C291" s="25" t="s">
        <v>43</v>
      </c>
      <c r="D291" t="str">
        <f>+VLOOKUP(C291,DIM_Mitarbeiter!A:D,4,0)</f>
        <v>VERW</v>
      </c>
      <c r="E291" s="25" t="s">
        <v>83</v>
      </c>
      <c r="F291" cm="1">
        <f t="array" ref="F29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291" cm="1">
        <f t="array" ref="G29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92" spans="1:7" x14ac:dyDescent="0.3">
      <c r="A292" s="8">
        <v>44805</v>
      </c>
      <c r="B292" s="20">
        <v>4</v>
      </c>
      <c r="C292" t="s">
        <v>50</v>
      </c>
      <c r="D292" t="str">
        <f>+VLOOKUP(C292,DIM_Mitarbeiter!A:D,4,0)</f>
        <v>PROD</v>
      </c>
      <c r="E292" t="s">
        <v>81</v>
      </c>
      <c r="F292" cm="1">
        <f t="array" ref="F29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292" cm="1">
        <f t="array" ref="G29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93" spans="1:7" x14ac:dyDescent="0.3">
      <c r="A293" s="8">
        <v>44805</v>
      </c>
      <c r="B293" s="20">
        <v>4</v>
      </c>
      <c r="C293" t="s">
        <v>50</v>
      </c>
      <c r="D293" t="str">
        <f>+VLOOKUP(C293,DIM_Mitarbeiter!A:D,4,0)</f>
        <v>PROD</v>
      </c>
      <c r="E293" t="s">
        <v>83</v>
      </c>
      <c r="F293" cm="1">
        <f t="array" ref="F29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293" cm="1">
        <f t="array" ref="G29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94" spans="1:7" x14ac:dyDescent="0.3">
      <c r="A294" s="8">
        <v>44805</v>
      </c>
      <c r="B294" s="20">
        <v>4</v>
      </c>
      <c r="C294" t="s">
        <v>66</v>
      </c>
      <c r="D294" t="str">
        <f>+VLOOKUP(C294,DIM_Mitarbeiter!A:D,4,0)</f>
        <v>VERW</v>
      </c>
      <c r="E294" t="s">
        <v>81</v>
      </c>
      <c r="F294" cm="1">
        <f t="array" ref="F29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294" cm="1">
        <f t="array" ref="G29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95" spans="1:7" x14ac:dyDescent="0.3">
      <c r="A295" s="8">
        <v>44805</v>
      </c>
      <c r="B295" s="20">
        <v>4</v>
      </c>
      <c r="C295" t="s">
        <v>66</v>
      </c>
      <c r="D295" t="str">
        <f>+VLOOKUP(C295,DIM_Mitarbeiter!A:D,4,0)</f>
        <v>VERW</v>
      </c>
      <c r="E295" t="s">
        <v>83</v>
      </c>
      <c r="F295" cm="1">
        <f t="array" ref="F29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295" cm="1">
        <f t="array" ref="G29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96" spans="1:7" x14ac:dyDescent="0.3">
      <c r="A296" s="8">
        <v>44805</v>
      </c>
      <c r="B296" s="20">
        <v>4</v>
      </c>
      <c r="C296" t="s">
        <v>60</v>
      </c>
      <c r="D296" t="str">
        <f>+VLOOKUP(C296,DIM_Mitarbeiter!A:D,4,0)</f>
        <v>VERKAUF</v>
      </c>
      <c r="E296" t="s">
        <v>81</v>
      </c>
      <c r="F296" cm="1">
        <f t="array" ref="F29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296" cm="1">
        <f t="array" ref="G29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297" spans="1:7" x14ac:dyDescent="0.3">
      <c r="A297" s="8">
        <v>44805</v>
      </c>
      <c r="B297" s="20">
        <v>4</v>
      </c>
      <c r="C297" t="s">
        <v>60</v>
      </c>
      <c r="D297" t="str">
        <f>+VLOOKUP(C297,DIM_Mitarbeiter!A:D,4,0)</f>
        <v>VERKAUF</v>
      </c>
      <c r="E297" t="s">
        <v>83</v>
      </c>
      <c r="F297" cm="1">
        <f t="array" ref="F29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297" cm="1">
        <f t="array" ref="G29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98" spans="1:7" x14ac:dyDescent="0.3">
      <c r="A298" s="8">
        <v>44805</v>
      </c>
      <c r="B298" s="20">
        <v>4</v>
      </c>
      <c r="C298" t="s">
        <v>69</v>
      </c>
      <c r="D298" t="str">
        <f>+VLOOKUP(C298,DIM_Mitarbeiter!A:D,4,0)</f>
        <v>VERKAUF</v>
      </c>
      <c r="E298" t="s">
        <v>81</v>
      </c>
      <c r="F298" cm="1">
        <f t="array" ref="F29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298" cm="1">
        <f t="array" ref="G29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299" spans="1:7" x14ac:dyDescent="0.3">
      <c r="A299" s="8">
        <v>44805</v>
      </c>
      <c r="B299" s="20">
        <v>4</v>
      </c>
      <c r="C299" t="s">
        <v>69</v>
      </c>
      <c r="D299" t="str">
        <f>+VLOOKUP(C299,DIM_Mitarbeiter!A:D,4,0)</f>
        <v>VERKAUF</v>
      </c>
      <c r="E299" t="s">
        <v>83</v>
      </c>
      <c r="F299" cm="1">
        <f t="array" ref="F29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299" cm="1">
        <f t="array" ref="G29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00" spans="1:7" x14ac:dyDescent="0.3">
      <c r="A300" s="8">
        <v>44805</v>
      </c>
      <c r="B300" s="20">
        <v>4</v>
      </c>
      <c r="C300" t="s">
        <v>53</v>
      </c>
      <c r="D300" t="str">
        <f>+VLOOKUP(C300,DIM_Mitarbeiter!A:D,4,0)</f>
        <v>PROD</v>
      </c>
      <c r="E300" t="s">
        <v>81</v>
      </c>
      <c r="F300" cm="1">
        <f t="array" ref="F30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300" cm="1">
        <f t="array" ref="G30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01" spans="1:7" x14ac:dyDescent="0.3">
      <c r="A301" s="8">
        <v>44805</v>
      </c>
      <c r="B301" s="20">
        <v>4</v>
      </c>
      <c r="C301" t="s">
        <v>53</v>
      </c>
      <c r="D301" t="str">
        <f>+VLOOKUP(C301,DIM_Mitarbeiter!A:D,4,0)</f>
        <v>PROD</v>
      </c>
      <c r="E301" t="s">
        <v>83</v>
      </c>
      <c r="F301" cm="1">
        <f t="array" ref="F30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301" cm="1">
        <f t="array" ref="G30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02" spans="1:7" x14ac:dyDescent="0.3">
      <c r="A302" s="8">
        <v>44805</v>
      </c>
      <c r="B302" s="20">
        <v>4</v>
      </c>
      <c r="C302" t="s">
        <v>63</v>
      </c>
      <c r="D302" t="str">
        <f>+VLOOKUP(C302,DIM_Mitarbeiter!A:D,4,0)</f>
        <v>VERKAUF</v>
      </c>
      <c r="E302" t="s">
        <v>81</v>
      </c>
      <c r="F302" cm="1">
        <f t="array" ref="F30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302" cm="1">
        <f t="array" ref="G30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03" spans="1:7" x14ac:dyDescent="0.3">
      <c r="A303" s="8">
        <v>44805</v>
      </c>
      <c r="B303" s="20">
        <v>4</v>
      </c>
      <c r="C303" t="s">
        <v>63</v>
      </c>
      <c r="D303" t="str">
        <f>+VLOOKUP(C303,DIM_Mitarbeiter!A:D,4,0)</f>
        <v>VERKAUF</v>
      </c>
      <c r="E303" t="s">
        <v>83</v>
      </c>
      <c r="F303" cm="1">
        <f t="array" ref="F30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303" cm="1">
        <f t="array" ref="G30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04" spans="1:7" x14ac:dyDescent="0.3">
      <c r="A304" s="8">
        <v>44805</v>
      </c>
      <c r="B304" s="20">
        <v>4</v>
      </c>
      <c r="C304" t="s">
        <v>72</v>
      </c>
      <c r="D304" t="str">
        <f>+VLOOKUP(C304,DIM_Mitarbeiter!A:D,4,0)</f>
        <v>PROD</v>
      </c>
      <c r="E304" t="s">
        <v>81</v>
      </c>
      <c r="F304" cm="1">
        <f t="array" ref="F30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304" cm="1">
        <f t="array" ref="G30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05" spans="1:7" x14ac:dyDescent="0.3">
      <c r="A305" s="8">
        <v>44805</v>
      </c>
      <c r="B305" s="20">
        <v>4</v>
      </c>
      <c r="C305" t="s">
        <v>72</v>
      </c>
      <c r="D305" t="str">
        <f>+VLOOKUP(C305,DIM_Mitarbeiter!A:D,4,0)</f>
        <v>PROD</v>
      </c>
      <c r="E305" t="s">
        <v>83</v>
      </c>
      <c r="F305" cm="1">
        <f t="array" ref="F30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305" cm="1">
        <f t="array" ref="G30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06" spans="1:7" x14ac:dyDescent="0.3">
      <c r="A306" s="8">
        <v>44805</v>
      </c>
      <c r="B306" s="20">
        <v>4</v>
      </c>
      <c r="C306" s="25" t="s">
        <v>46</v>
      </c>
      <c r="D306" t="str">
        <f>+VLOOKUP(C306,DIM_Mitarbeiter!A:D,4,0)</f>
        <v>PROD</v>
      </c>
      <c r="E306" s="25" t="s">
        <v>81</v>
      </c>
      <c r="F306" cm="1">
        <f t="array" ref="F30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306" cm="1">
        <f t="array" ref="G30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07" spans="1:7" x14ac:dyDescent="0.3">
      <c r="A307" s="33">
        <v>44805</v>
      </c>
      <c r="B307" s="20">
        <v>4</v>
      </c>
      <c r="C307" s="25" t="s">
        <v>46</v>
      </c>
      <c r="D307" t="str">
        <f>+VLOOKUP(C307,DIM_Mitarbeiter!A:D,4,0)</f>
        <v>PROD</v>
      </c>
      <c r="E307" t="s">
        <v>83</v>
      </c>
      <c r="F307" cm="1">
        <f t="array" ref="F30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307" cm="1">
        <f t="array" ref="G30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08" spans="1:7" x14ac:dyDescent="0.3">
      <c r="A308" s="8">
        <v>44805</v>
      </c>
      <c r="B308" s="20">
        <v>4</v>
      </c>
      <c r="C308" s="25" t="s">
        <v>39</v>
      </c>
      <c r="D308" t="str">
        <f>+VLOOKUP(C308,DIM_Mitarbeiter!A:D,4,0)</f>
        <v>VERW</v>
      </c>
      <c r="E308" t="s">
        <v>81</v>
      </c>
      <c r="F308" cm="1">
        <f t="array" ref="F30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308" cm="1">
        <f t="array" ref="G30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09" spans="1:7" x14ac:dyDescent="0.3">
      <c r="A309" s="8">
        <v>44805</v>
      </c>
      <c r="B309" s="20">
        <v>4</v>
      </c>
      <c r="C309" s="25" t="s">
        <v>39</v>
      </c>
      <c r="D309" t="str">
        <f>+VLOOKUP(C309,DIM_Mitarbeiter!A:D,4,0)</f>
        <v>VERW</v>
      </c>
      <c r="E309" t="s">
        <v>83</v>
      </c>
      <c r="F309" cm="1">
        <f t="array" ref="F30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309" cm="1">
        <f t="array" ref="G30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10" spans="1:7" x14ac:dyDescent="0.3">
      <c r="A310" s="8">
        <v>44805</v>
      </c>
      <c r="B310" s="20">
        <v>5</v>
      </c>
      <c r="C310" s="25" t="s">
        <v>56</v>
      </c>
      <c r="D310" t="str">
        <f>+VLOOKUP(C310,DIM_Mitarbeiter!A:D,4,0)</f>
        <v>VERKAUF</v>
      </c>
      <c r="E310" s="25" t="s">
        <v>83</v>
      </c>
      <c r="F310" cm="1">
        <f t="array" ref="F31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310" cm="1">
        <f t="array" ref="G31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311" spans="1:7" x14ac:dyDescent="0.3">
      <c r="A311" s="8">
        <v>44805</v>
      </c>
      <c r="B311" s="20">
        <v>5</v>
      </c>
      <c r="C311" t="s">
        <v>56</v>
      </c>
      <c r="D311" t="str">
        <f>+VLOOKUP(C311,DIM_Mitarbeiter!A:D,4,0)</f>
        <v>VERKAUF</v>
      </c>
      <c r="E311" t="s">
        <v>81</v>
      </c>
      <c r="F311" cm="1">
        <f t="array" ref="F31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311" cm="1">
        <f t="array" ref="G31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12" spans="1:7" x14ac:dyDescent="0.3">
      <c r="A312" s="8">
        <v>44805</v>
      </c>
      <c r="B312" s="20">
        <v>5</v>
      </c>
      <c r="C312" s="25" t="s">
        <v>43</v>
      </c>
      <c r="D312" t="str">
        <f>+VLOOKUP(C312,DIM_Mitarbeiter!A:D,4,0)</f>
        <v>VERW</v>
      </c>
      <c r="E312" t="s">
        <v>81</v>
      </c>
      <c r="F312" cm="1">
        <f t="array" ref="F31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312" cm="1">
        <f t="array" ref="G31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13" spans="1:7" x14ac:dyDescent="0.3">
      <c r="A313" s="8">
        <v>44805</v>
      </c>
      <c r="B313" s="20">
        <v>5</v>
      </c>
      <c r="C313" s="25" t="s">
        <v>43</v>
      </c>
      <c r="D313" t="str">
        <f>+VLOOKUP(C313,DIM_Mitarbeiter!A:D,4,0)</f>
        <v>VERW</v>
      </c>
      <c r="E313" t="s">
        <v>83</v>
      </c>
      <c r="F313" cm="1">
        <f t="array" ref="F31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313" cm="1">
        <f t="array" ref="G31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314" spans="1:7" x14ac:dyDescent="0.3">
      <c r="A314" s="8">
        <v>44805</v>
      </c>
      <c r="B314" s="20">
        <v>5</v>
      </c>
      <c r="C314" s="25" t="s">
        <v>50</v>
      </c>
      <c r="D314" t="str">
        <f>+VLOOKUP(C314,DIM_Mitarbeiter!A:D,4,0)</f>
        <v>PROD</v>
      </c>
      <c r="E314" s="25" t="s">
        <v>83</v>
      </c>
      <c r="F314" cm="1">
        <f t="array" ref="F31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314" cm="1">
        <f t="array" ref="G31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15" spans="1:7" x14ac:dyDescent="0.3">
      <c r="A315" s="8">
        <v>44805</v>
      </c>
      <c r="B315" s="20">
        <v>5</v>
      </c>
      <c r="C315" t="s">
        <v>50</v>
      </c>
      <c r="D315" t="str">
        <f>+VLOOKUP(C315,DIM_Mitarbeiter!A:D,4,0)</f>
        <v>PROD</v>
      </c>
      <c r="E315" t="s">
        <v>81</v>
      </c>
      <c r="F315" cm="1">
        <f t="array" ref="F31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315" cm="1">
        <f t="array" ref="G31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16" spans="1:7" x14ac:dyDescent="0.3">
      <c r="A316" s="8">
        <v>44805</v>
      </c>
      <c r="B316" s="20">
        <v>5</v>
      </c>
      <c r="C316" t="s">
        <v>66</v>
      </c>
      <c r="D316" t="str">
        <f>+VLOOKUP(C316,DIM_Mitarbeiter!A:D,4,0)</f>
        <v>VERW</v>
      </c>
      <c r="E316" t="s">
        <v>81</v>
      </c>
      <c r="F316" cm="1">
        <f t="array" ref="F31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316" cm="1">
        <f t="array" ref="G31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17" spans="1:7" x14ac:dyDescent="0.3">
      <c r="A317" s="8">
        <v>44805</v>
      </c>
      <c r="B317" s="20">
        <v>5</v>
      </c>
      <c r="C317" t="s">
        <v>66</v>
      </c>
      <c r="D317" t="str">
        <f>+VLOOKUP(C317,DIM_Mitarbeiter!A:D,4,0)</f>
        <v>VERW</v>
      </c>
      <c r="E317" t="s">
        <v>83</v>
      </c>
      <c r="F317" cm="1">
        <f t="array" ref="F31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317" cm="1">
        <f t="array" ref="G31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18" spans="1:7" x14ac:dyDescent="0.3">
      <c r="A318" s="8">
        <v>44805</v>
      </c>
      <c r="B318" s="20">
        <v>5</v>
      </c>
      <c r="C318" t="s">
        <v>60</v>
      </c>
      <c r="D318" t="str">
        <f>+VLOOKUP(C318,DIM_Mitarbeiter!A:D,4,0)</f>
        <v>VERKAUF</v>
      </c>
      <c r="E318" t="s">
        <v>81</v>
      </c>
      <c r="F318" cm="1">
        <f t="array" ref="F31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318" cm="1">
        <f t="array" ref="G31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319" spans="1:7" x14ac:dyDescent="0.3">
      <c r="A319" s="8">
        <v>44805</v>
      </c>
      <c r="B319" s="20">
        <v>5</v>
      </c>
      <c r="C319" t="s">
        <v>60</v>
      </c>
      <c r="D319" t="str">
        <f>+VLOOKUP(C319,DIM_Mitarbeiter!A:D,4,0)</f>
        <v>VERKAUF</v>
      </c>
      <c r="E319" t="s">
        <v>83</v>
      </c>
      <c r="F319" cm="1">
        <f t="array" ref="F31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319" cm="1">
        <f t="array" ref="G31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320" spans="1:7" x14ac:dyDescent="0.3">
      <c r="A320" s="8">
        <v>44805</v>
      </c>
      <c r="B320" s="20">
        <v>5</v>
      </c>
      <c r="C320" t="s">
        <v>69</v>
      </c>
      <c r="D320" t="str">
        <f>+VLOOKUP(C320,DIM_Mitarbeiter!A:D,4,0)</f>
        <v>VERKAUF</v>
      </c>
      <c r="E320" t="s">
        <v>81</v>
      </c>
      <c r="F320" cm="1">
        <f t="array" ref="F32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320" cm="1">
        <f t="array" ref="G32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21" spans="1:7" x14ac:dyDescent="0.3">
      <c r="A321" s="8">
        <v>44805</v>
      </c>
      <c r="B321" s="20">
        <v>5</v>
      </c>
      <c r="C321" t="s">
        <v>69</v>
      </c>
      <c r="D321" t="str">
        <f>+VLOOKUP(C321,DIM_Mitarbeiter!A:D,4,0)</f>
        <v>VERKAUF</v>
      </c>
      <c r="E321" t="s">
        <v>83</v>
      </c>
      <c r="F321" cm="1">
        <f t="array" ref="F32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321" cm="1">
        <f t="array" ref="G32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22" spans="1:7" x14ac:dyDescent="0.3">
      <c r="A322" s="8">
        <v>44805</v>
      </c>
      <c r="B322" s="20">
        <v>5</v>
      </c>
      <c r="C322" t="s">
        <v>53</v>
      </c>
      <c r="D322" t="str">
        <f>+VLOOKUP(C322,DIM_Mitarbeiter!A:D,4,0)</f>
        <v>PROD</v>
      </c>
      <c r="E322" t="s">
        <v>81</v>
      </c>
      <c r="F322" cm="1">
        <f t="array" ref="F32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322" cm="1">
        <f t="array" ref="G32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23" spans="1:7" x14ac:dyDescent="0.3">
      <c r="A323" s="8">
        <v>44805</v>
      </c>
      <c r="B323" s="20">
        <v>5</v>
      </c>
      <c r="C323" t="s">
        <v>53</v>
      </c>
      <c r="D323" t="str">
        <f>+VLOOKUP(C323,DIM_Mitarbeiter!A:D,4,0)</f>
        <v>PROD</v>
      </c>
      <c r="E323" t="s">
        <v>83</v>
      </c>
      <c r="F323" cm="1">
        <f t="array" ref="F32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323" cm="1">
        <f t="array" ref="G32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24" spans="1:7" x14ac:dyDescent="0.3">
      <c r="A324" s="8">
        <v>44805</v>
      </c>
      <c r="B324" s="20">
        <v>5</v>
      </c>
      <c r="C324" t="s">
        <v>63</v>
      </c>
      <c r="D324" t="str">
        <f>+VLOOKUP(C324,DIM_Mitarbeiter!A:D,4,0)</f>
        <v>VERKAUF</v>
      </c>
      <c r="E324" t="s">
        <v>81</v>
      </c>
      <c r="F324" cm="1">
        <f t="array" ref="F32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324" cm="1">
        <f t="array" ref="G32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25" spans="1:7" x14ac:dyDescent="0.3">
      <c r="A325" s="8">
        <v>44805</v>
      </c>
      <c r="B325" s="20">
        <v>5</v>
      </c>
      <c r="C325" t="s">
        <v>63</v>
      </c>
      <c r="D325" t="str">
        <f>+VLOOKUP(C325,DIM_Mitarbeiter!A:D,4,0)</f>
        <v>VERKAUF</v>
      </c>
      <c r="E325" t="s">
        <v>83</v>
      </c>
      <c r="F325" cm="1">
        <f t="array" ref="F32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325" cm="1">
        <f t="array" ref="G32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26" spans="1:7" x14ac:dyDescent="0.3">
      <c r="A326" s="8">
        <v>44805</v>
      </c>
      <c r="B326" s="20">
        <v>5</v>
      </c>
      <c r="C326" t="s">
        <v>72</v>
      </c>
      <c r="D326" t="str">
        <f>+VLOOKUP(C326,DIM_Mitarbeiter!A:D,4,0)</f>
        <v>PROD</v>
      </c>
      <c r="E326" t="s">
        <v>81</v>
      </c>
      <c r="F326" cm="1">
        <f t="array" ref="F32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326" cm="1">
        <f t="array" ref="G32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27" spans="1:7" x14ac:dyDescent="0.3">
      <c r="A327" s="8">
        <v>44805</v>
      </c>
      <c r="B327" s="20">
        <v>5</v>
      </c>
      <c r="C327" t="s">
        <v>72</v>
      </c>
      <c r="D327" t="str">
        <f>+VLOOKUP(C327,DIM_Mitarbeiter!A:D,4,0)</f>
        <v>PROD</v>
      </c>
      <c r="E327" t="s">
        <v>83</v>
      </c>
      <c r="F327" cm="1">
        <f t="array" ref="F32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327" cm="1">
        <f t="array" ref="G32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28" spans="1:7" x14ac:dyDescent="0.3">
      <c r="A328" s="8">
        <v>44805</v>
      </c>
      <c r="B328" s="20">
        <v>5</v>
      </c>
      <c r="C328" s="25" t="s">
        <v>46</v>
      </c>
      <c r="D328" t="str">
        <f>+VLOOKUP(C328,DIM_Mitarbeiter!A:D,4,0)</f>
        <v>PROD</v>
      </c>
      <c r="E328" s="25" t="s">
        <v>81</v>
      </c>
      <c r="F328" cm="1">
        <f t="array" ref="F32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328" cm="1">
        <f t="array" ref="G32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29" spans="1:7" x14ac:dyDescent="0.3">
      <c r="A329" s="33">
        <v>44805</v>
      </c>
      <c r="B329" s="20">
        <v>5</v>
      </c>
      <c r="C329" s="25" t="s">
        <v>46</v>
      </c>
      <c r="D329" t="str">
        <f>+VLOOKUP(C329,DIM_Mitarbeiter!A:D,4,0)</f>
        <v>PROD</v>
      </c>
      <c r="E329" t="s">
        <v>83</v>
      </c>
      <c r="F329" cm="1">
        <f t="array" ref="F32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329" cm="1">
        <f t="array" ref="G32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30" spans="1:7" x14ac:dyDescent="0.3">
      <c r="A330" s="8">
        <v>44805</v>
      </c>
      <c r="B330" s="20">
        <v>5</v>
      </c>
      <c r="C330" s="25" t="s">
        <v>39</v>
      </c>
      <c r="D330" t="str">
        <f>+VLOOKUP(C330,DIM_Mitarbeiter!A:D,4,0)</f>
        <v>VERW</v>
      </c>
      <c r="E330" t="s">
        <v>81</v>
      </c>
      <c r="F330" cm="1">
        <f t="array" ref="F33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330" cm="1">
        <f t="array" ref="G33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31" spans="1:7" x14ac:dyDescent="0.3">
      <c r="A331" s="8">
        <v>44805</v>
      </c>
      <c r="B331" s="20">
        <v>5</v>
      </c>
      <c r="C331" s="25" t="s">
        <v>39</v>
      </c>
      <c r="D331" t="str">
        <f>+VLOOKUP(C331,DIM_Mitarbeiter!A:D,4,0)</f>
        <v>VERW</v>
      </c>
      <c r="E331" t="s">
        <v>83</v>
      </c>
      <c r="F331" cm="1">
        <f t="array" ref="F33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331" cm="1">
        <f t="array" ref="G33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32" spans="1:7" x14ac:dyDescent="0.3">
      <c r="A332" s="8">
        <v>44835</v>
      </c>
      <c r="B332" s="20">
        <v>1</v>
      </c>
      <c r="C332" t="s">
        <v>56</v>
      </c>
      <c r="D332" t="str">
        <f>+VLOOKUP(C332,DIM_Mitarbeiter!A:D,4,0)</f>
        <v>VERKAUF</v>
      </c>
      <c r="E332" t="s">
        <v>81</v>
      </c>
      <c r="F332" cm="1">
        <f t="array" ref="F33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32" cm="1">
        <f t="array" ref="G33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333" spans="1:7" x14ac:dyDescent="0.3">
      <c r="A333" s="8">
        <v>44835</v>
      </c>
      <c r="B333" s="20">
        <v>1</v>
      </c>
      <c r="C333" t="s">
        <v>56</v>
      </c>
      <c r="D333" t="str">
        <f>+VLOOKUP(C333,DIM_Mitarbeiter!A:D,4,0)</f>
        <v>VERKAUF</v>
      </c>
      <c r="E333" t="s">
        <v>83</v>
      </c>
      <c r="F333" cm="1">
        <f t="array" ref="F33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33" cm="1">
        <f t="array" ref="G33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34" spans="1:7" x14ac:dyDescent="0.3">
      <c r="A334" s="8">
        <v>44835</v>
      </c>
      <c r="B334" s="20">
        <v>1</v>
      </c>
      <c r="C334" s="25" t="s">
        <v>43</v>
      </c>
      <c r="D334" t="str">
        <f>+VLOOKUP(C334,DIM_Mitarbeiter!A:D,4,0)</f>
        <v>VERW</v>
      </c>
      <c r="E334" t="s">
        <v>81</v>
      </c>
      <c r="F334" cm="1">
        <f t="array" ref="F33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34" cm="1">
        <f t="array" ref="G33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35" spans="1:7" x14ac:dyDescent="0.3">
      <c r="A335" s="8">
        <v>44835</v>
      </c>
      <c r="B335" s="20">
        <v>1</v>
      </c>
      <c r="C335" s="25" t="s">
        <v>43</v>
      </c>
      <c r="D335" t="str">
        <f>+VLOOKUP(C335,DIM_Mitarbeiter!A:D,4,0)</f>
        <v>VERW</v>
      </c>
      <c r="E335" t="s">
        <v>83</v>
      </c>
      <c r="F335" cm="1">
        <f t="array" ref="F33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35" cm="1">
        <f t="array" ref="G33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2</v>
      </c>
    </row>
    <row r="336" spans="1:7" x14ac:dyDescent="0.3">
      <c r="A336" s="8">
        <v>44835</v>
      </c>
      <c r="B336" s="20">
        <v>1</v>
      </c>
      <c r="C336" s="25" t="s">
        <v>50</v>
      </c>
      <c r="D336" t="str">
        <f>+VLOOKUP(C336,DIM_Mitarbeiter!A:D,4,0)</f>
        <v>PROD</v>
      </c>
      <c r="E336" s="25" t="s">
        <v>81</v>
      </c>
      <c r="F336" cm="1">
        <f t="array" ref="F33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36" cm="1">
        <f t="array" ref="G33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37" spans="1:7" x14ac:dyDescent="0.3">
      <c r="A337" s="8">
        <v>44835</v>
      </c>
      <c r="B337" s="20">
        <v>1</v>
      </c>
      <c r="C337" t="s">
        <v>50</v>
      </c>
      <c r="D337" t="str">
        <f>+VLOOKUP(C337,DIM_Mitarbeiter!A:D,4,0)</f>
        <v>PROD</v>
      </c>
      <c r="E337" t="s">
        <v>83</v>
      </c>
      <c r="F337" cm="1">
        <f t="array" ref="F33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37" cm="1">
        <f t="array" ref="G33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38" spans="1:7" x14ac:dyDescent="0.3">
      <c r="A338" s="8">
        <v>44835</v>
      </c>
      <c r="B338" s="20">
        <v>1</v>
      </c>
      <c r="C338" t="s">
        <v>66</v>
      </c>
      <c r="D338" t="str">
        <f>+VLOOKUP(C338,DIM_Mitarbeiter!A:D,4,0)</f>
        <v>VERW</v>
      </c>
      <c r="E338" t="s">
        <v>81</v>
      </c>
      <c r="F338" cm="1">
        <f t="array" ref="F33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38" cm="1">
        <f t="array" ref="G33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39" spans="1:7" x14ac:dyDescent="0.3">
      <c r="A339" s="8">
        <v>44835</v>
      </c>
      <c r="B339" s="20">
        <v>1</v>
      </c>
      <c r="C339" t="s">
        <v>66</v>
      </c>
      <c r="D339" t="str">
        <f>+VLOOKUP(C339,DIM_Mitarbeiter!A:D,4,0)</f>
        <v>VERW</v>
      </c>
      <c r="E339" t="s">
        <v>83</v>
      </c>
      <c r="F339" cm="1">
        <f t="array" ref="F33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39" cm="1">
        <f t="array" ref="G33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40" spans="1:7" x14ac:dyDescent="0.3">
      <c r="A340" s="8">
        <v>44835</v>
      </c>
      <c r="B340" s="20">
        <v>1</v>
      </c>
      <c r="C340" t="s">
        <v>60</v>
      </c>
      <c r="D340" t="str">
        <f>+VLOOKUP(C340,DIM_Mitarbeiter!A:D,4,0)</f>
        <v>VERKAUF</v>
      </c>
      <c r="E340" t="s">
        <v>81</v>
      </c>
      <c r="F340" cm="1">
        <f t="array" ref="F34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40" cm="1">
        <f t="array" ref="G34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41" spans="1:7" x14ac:dyDescent="0.3">
      <c r="A341" s="8">
        <v>44835</v>
      </c>
      <c r="B341" s="20">
        <v>1</v>
      </c>
      <c r="C341" t="s">
        <v>60</v>
      </c>
      <c r="D341" t="str">
        <f>+VLOOKUP(C341,DIM_Mitarbeiter!A:D,4,0)</f>
        <v>VERKAUF</v>
      </c>
      <c r="E341" t="s">
        <v>83</v>
      </c>
      <c r="F341" cm="1">
        <f t="array" ref="F34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41" cm="1">
        <f t="array" ref="G34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342" spans="1:7" x14ac:dyDescent="0.3">
      <c r="A342" s="8">
        <v>44835</v>
      </c>
      <c r="B342" s="20">
        <v>1</v>
      </c>
      <c r="C342" t="s">
        <v>69</v>
      </c>
      <c r="D342" t="str">
        <f>+VLOOKUP(C342,DIM_Mitarbeiter!A:D,4,0)</f>
        <v>VERKAUF</v>
      </c>
      <c r="E342" t="s">
        <v>81</v>
      </c>
      <c r="F342" cm="1">
        <f t="array" ref="F34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42" cm="1">
        <f t="array" ref="G34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43" spans="1:7" x14ac:dyDescent="0.3">
      <c r="A343" s="8">
        <v>44835</v>
      </c>
      <c r="B343" s="20">
        <v>1</v>
      </c>
      <c r="C343" t="s">
        <v>69</v>
      </c>
      <c r="D343" t="str">
        <f>+VLOOKUP(C343,DIM_Mitarbeiter!A:D,4,0)</f>
        <v>VERKAUF</v>
      </c>
      <c r="E343" t="s">
        <v>83</v>
      </c>
      <c r="F343" cm="1">
        <f t="array" ref="F34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43" cm="1">
        <f t="array" ref="G34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44" spans="1:7" x14ac:dyDescent="0.3">
      <c r="A344" s="8">
        <v>44835</v>
      </c>
      <c r="B344" s="20">
        <v>1</v>
      </c>
      <c r="C344" t="s">
        <v>53</v>
      </c>
      <c r="D344" t="str">
        <f>+VLOOKUP(C344,DIM_Mitarbeiter!A:D,4,0)</f>
        <v>PROD</v>
      </c>
      <c r="E344" t="s">
        <v>81</v>
      </c>
      <c r="F344" cm="1">
        <f t="array" ref="F34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44" cm="1">
        <f t="array" ref="G34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45" spans="1:7" x14ac:dyDescent="0.3">
      <c r="A345" s="8">
        <v>44835</v>
      </c>
      <c r="B345" s="20">
        <v>1</v>
      </c>
      <c r="C345" t="s">
        <v>53</v>
      </c>
      <c r="D345" t="str">
        <f>+VLOOKUP(C345,DIM_Mitarbeiter!A:D,4,0)</f>
        <v>PROD</v>
      </c>
      <c r="E345" t="s">
        <v>83</v>
      </c>
      <c r="F345" cm="1">
        <f t="array" ref="F34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45" cm="1">
        <f t="array" ref="G34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346" spans="1:7" x14ac:dyDescent="0.3">
      <c r="A346" s="8">
        <v>44835</v>
      </c>
      <c r="B346" s="20">
        <v>1</v>
      </c>
      <c r="C346" t="s">
        <v>63</v>
      </c>
      <c r="D346" t="str">
        <f>+VLOOKUP(C346,DIM_Mitarbeiter!A:D,4,0)</f>
        <v>VERKAUF</v>
      </c>
      <c r="E346" t="s">
        <v>81</v>
      </c>
      <c r="F346" cm="1">
        <f t="array" ref="F34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46" cm="1">
        <f t="array" ref="G34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47" spans="1:7" x14ac:dyDescent="0.3">
      <c r="A347" s="8">
        <v>44835</v>
      </c>
      <c r="B347" s="20">
        <v>1</v>
      </c>
      <c r="C347" t="s">
        <v>63</v>
      </c>
      <c r="D347" t="str">
        <f>+VLOOKUP(C347,DIM_Mitarbeiter!A:D,4,0)</f>
        <v>VERKAUF</v>
      </c>
      <c r="E347" t="s">
        <v>83</v>
      </c>
      <c r="F347" cm="1">
        <f t="array" ref="F34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47" cm="1">
        <f t="array" ref="G34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48" spans="1:7" x14ac:dyDescent="0.3">
      <c r="A348" s="8">
        <v>44835</v>
      </c>
      <c r="B348" s="20">
        <v>1</v>
      </c>
      <c r="C348" t="s">
        <v>72</v>
      </c>
      <c r="D348" t="str">
        <f>+VLOOKUP(C348,DIM_Mitarbeiter!A:D,4,0)</f>
        <v>PROD</v>
      </c>
      <c r="E348" t="s">
        <v>81</v>
      </c>
      <c r="F348" cm="1">
        <f t="array" ref="F34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48" cm="1">
        <f t="array" ref="G34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49" spans="1:7" x14ac:dyDescent="0.3">
      <c r="A349" s="8">
        <v>44835</v>
      </c>
      <c r="B349" s="20">
        <v>1</v>
      </c>
      <c r="C349" t="s">
        <v>72</v>
      </c>
      <c r="D349" t="str">
        <f>+VLOOKUP(C349,DIM_Mitarbeiter!A:D,4,0)</f>
        <v>PROD</v>
      </c>
      <c r="E349" t="s">
        <v>83</v>
      </c>
      <c r="F349" cm="1">
        <f t="array" ref="F34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49" cm="1">
        <f t="array" ref="G34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50" spans="1:7" x14ac:dyDescent="0.3">
      <c r="A350" s="33">
        <v>44835</v>
      </c>
      <c r="B350" s="20">
        <v>1</v>
      </c>
      <c r="C350" s="25" t="s">
        <v>46</v>
      </c>
      <c r="D350" t="str">
        <f>+VLOOKUP(C350,DIM_Mitarbeiter!A:D,4,0)</f>
        <v>PROD</v>
      </c>
      <c r="E350" s="25" t="s">
        <v>81</v>
      </c>
      <c r="F350" cm="1">
        <f t="array" ref="F35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50" cm="1">
        <f t="array" ref="G35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51" spans="1:7" x14ac:dyDescent="0.3">
      <c r="A351" s="33">
        <v>44835</v>
      </c>
      <c r="B351" s="20">
        <v>1</v>
      </c>
      <c r="C351" s="25" t="s">
        <v>46</v>
      </c>
      <c r="D351" t="str">
        <f>+VLOOKUP(C351,DIM_Mitarbeiter!A:D,4,0)</f>
        <v>PROD</v>
      </c>
      <c r="E351" s="25" t="s">
        <v>83</v>
      </c>
      <c r="F351" cm="1">
        <f t="array" ref="F35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51" cm="1">
        <f t="array" ref="G35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2</v>
      </c>
    </row>
    <row r="352" spans="1:7" x14ac:dyDescent="0.3">
      <c r="A352" s="8">
        <v>44835</v>
      </c>
      <c r="B352" s="20">
        <v>1</v>
      </c>
      <c r="C352" s="25" t="s">
        <v>39</v>
      </c>
      <c r="D352" t="str">
        <f>+VLOOKUP(C352,DIM_Mitarbeiter!A:D,4,0)</f>
        <v>VERW</v>
      </c>
      <c r="E352" s="25" t="s">
        <v>81</v>
      </c>
      <c r="F352" cm="1">
        <f t="array" ref="F35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52" cm="1">
        <f t="array" ref="G35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53" spans="1:7" x14ac:dyDescent="0.3">
      <c r="A353" s="8">
        <v>44835</v>
      </c>
      <c r="B353" s="20">
        <v>1</v>
      </c>
      <c r="C353" s="25" t="s">
        <v>39</v>
      </c>
      <c r="D353" t="str">
        <f>+VLOOKUP(C353,DIM_Mitarbeiter!A:D,4,0)</f>
        <v>VERW</v>
      </c>
      <c r="E353" t="s">
        <v>83</v>
      </c>
      <c r="F353" cm="1">
        <f t="array" ref="F35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53" cm="1">
        <f t="array" ref="G35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54" spans="1:7" x14ac:dyDescent="0.3">
      <c r="A354" s="8">
        <v>44835</v>
      </c>
      <c r="B354" s="20">
        <v>2</v>
      </c>
      <c r="C354" t="s">
        <v>56</v>
      </c>
      <c r="D354" t="str">
        <f>+VLOOKUP(C354,DIM_Mitarbeiter!A:D,4,0)</f>
        <v>VERKAUF</v>
      </c>
      <c r="E354" t="s">
        <v>81</v>
      </c>
      <c r="F354" cm="1">
        <f t="array" ref="F35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54" cm="1">
        <f t="array" ref="G35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55" spans="1:7" x14ac:dyDescent="0.3">
      <c r="A355" s="8">
        <v>44835</v>
      </c>
      <c r="B355" s="20">
        <v>2</v>
      </c>
      <c r="C355" t="s">
        <v>56</v>
      </c>
      <c r="D355" t="str">
        <f>+VLOOKUP(C355,DIM_Mitarbeiter!A:D,4,0)</f>
        <v>VERKAUF</v>
      </c>
      <c r="E355" t="s">
        <v>83</v>
      </c>
      <c r="F355" cm="1">
        <f t="array" ref="F35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55" cm="1">
        <f t="array" ref="G35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56" spans="1:7" x14ac:dyDescent="0.3">
      <c r="A356" s="8">
        <v>44835</v>
      </c>
      <c r="B356" s="20">
        <v>2</v>
      </c>
      <c r="C356" s="25" t="s">
        <v>43</v>
      </c>
      <c r="D356" t="str">
        <f>+VLOOKUP(C356,DIM_Mitarbeiter!A:D,4,0)</f>
        <v>VERW</v>
      </c>
      <c r="E356" t="s">
        <v>81</v>
      </c>
      <c r="F356" cm="1">
        <f t="array" ref="F35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56" cm="1">
        <f t="array" ref="G35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57" spans="1:7" x14ac:dyDescent="0.3">
      <c r="A357" s="8">
        <v>44835</v>
      </c>
      <c r="B357" s="20">
        <v>2</v>
      </c>
      <c r="C357" s="25" t="s">
        <v>43</v>
      </c>
      <c r="D357" t="str">
        <f>+VLOOKUP(C357,DIM_Mitarbeiter!A:D,4,0)</f>
        <v>VERW</v>
      </c>
      <c r="E357" t="s">
        <v>83</v>
      </c>
      <c r="F357" cm="1">
        <f t="array" ref="F35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57" cm="1">
        <f t="array" ref="G35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2</v>
      </c>
    </row>
    <row r="358" spans="1:7" x14ac:dyDescent="0.3">
      <c r="A358" s="8">
        <v>44835</v>
      </c>
      <c r="B358" s="20">
        <v>2</v>
      </c>
      <c r="C358" s="25" t="s">
        <v>50</v>
      </c>
      <c r="D358" t="str">
        <f>+VLOOKUP(C358,DIM_Mitarbeiter!A:D,4,0)</f>
        <v>PROD</v>
      </c>
      <c r="E358" s="25" t="s">
        <v>81</v>
      </c>
      <c r="F358" cm="1">
        <f t="array" ref="F35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58" cm="1">
        <f t="array" ref="G35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59" spans="1:7" x14ac:dyDescent="0.3">
      <c r="A359" s="8">
        <v>44835</v>
      </c>
      <c r="B359" s="20">
        <v>2</v>
      </c>
      <c r="C359" t="s">
        <v>50</v>
      </c>
      <c r="D359" t="str">
        <f>+VLOOKUP(C359,DIM_Mitarbeiter!A:D,4,0)</f>
        <v>PROD</v>
      </c>
      <c r="E359" t="s">
        <v>83</v>
      </c>
      <c r="F359" cm="1">
        <f t="array" ref="F35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59" cm="1">
        <f t="array" ref="G35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60" spans="1:7" x14ac:dyDescent="0.3">
      <c r="A360" s="8">
        <v>44835</v>
      </c>
      <c r="B360" s="20">
        <v>2</v>
      </c>
      <c r="C360" t="s">
        <v>66</v>
      </c>
      <c r="D360" t="str">
        <f>+VLOOKUP(C360,DIM_Mitarbeiter!A:D,4,0)</f>
        <v>VERW</v>
      </c>
      <c r="E360" t="s">
        <v>81</v>
      </c>
      <c r="F360" cm="1">
        <f t="array" ref="F36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60" cm="1">
        <f t="array" ref="G36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61" spans="1:7" x14ac:dyDescent="0.3">
      <c r="A361" s="8">
        <v>44835</v>
      </c>
      <c r="B361" s="20">
        <v>2</v>
      </c>
      <c r="C361" t="s">
        <v>66</v>
      </c>
      <c r="D361" t="str">
        <f>+VLOOKUP(C361,DIM_Mitarbeiter!A:D,4,0)</f>
        <v>VERW</v>
      </c>
      <c r="E361" t="s">
        <v>83</v>
      </c>
      <c r="F361" cm="1">
        <f t="array" ref="F36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61" cm="1">
        <f t="array" ref="G36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62" spans="1:7" x14ac:dyDescent="0.3">
      <c r="A362" s="8">
        <v>44835</v>
      </c>
      <c r="B362" s="20">
        <v>2</v>
      </c>
      <c r="C362" t="s">
        <v>60</v>
      </c>
      <c r="D362" t="str">
        <f>+VLOOKUP(C362,DIM_Mitarbeiter!A:D,4,0)</f>
        <v>VERKAUF</v>
      </c>
      <c r="E362" t="s">
        <v>81</v>
      </c>
      <c r="F362" cm="1">
        <f t="array" ref="F36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62" cm="1">
        <f t="array" ref="G36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63" spans="1:7" x14ac:dyDescent="0.3">
      <c r="A363" s="8">
        <v>44835</v>
      </c>
      <c r="B363" s="20">
        <v>2</v>
      </c>
      <c r="C363" t="s">
        <v>60</v>
      </c>
      <c r="D363" t="str">
        <f>+VLOOKUP(C363,DIM_Mitarbeiter!A:D,4,0)</f>
        <v>VERKAUF</v>
      </c>
      <c r="E363" t="s">
        <v>83</v>
      </c>
      <c r="F363" cm="1">
        <f t="array" ref="F36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63" cm="1">
        <f t="array" ref="G36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364" spans="1:7" x14ac:dyDescent="0.3">
      <c r="A364" s="8">
        <v>44835</v>
      </c>
      <c r="B364" s="20">
        <v>2</v>
      </c>
      <c r="C364" t="s">
        <v>69</v>
      </c>
      <c r="D364" t="str">
        <f>+VLOOKUP(C364,DIM_Mitarbeiter!A:D,4,0)</f>
        <v>VERKAUF</v>
      </c>
      <c r="E364" t="s">
        <v>81</v>
      </c>
      <c r="F364" cm="1">
        <f t="array" ref="F36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64" cm="1">
        <f t="array" ref="G36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65" spans="1:7" x14ac:dyDescent="0.3">
      <c r="A365" s="8">
        <v>44835</v>
      </c>
      <c r="B365" s="20">
        <v>2</v>
      </c>
      <c r="C365" t="s">
        <v>69</v>
      </c>
      <c r="D365" t="str">
        <f>+VLOOKUP(C365,DIM_Mitarbeiter!A:D,4,0)</f>
        <v>VERKAUF</v>
      </c>
      <c r="E365" t="s">
        <v>83</v>
      </c>
      <c r="F365" cm="1">
        <f t="array" ref="F36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65" cm="1">
        <f t="array" ref="G36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66" spans="1:7" x14ac:dyDescent="0.3">
      <c r="A366" s="8">
        <v>44835</v>
      </c>
      <c r="B366" s="20">
        <v>2</v>
      </c>
      <c r="C366" s="25" t="s">
        <v>53</v>
      </c>
      <c r="D366" t="str">
        <f>+VLOOKUP(C366,DIM_Mitarbeiter!A:D,4,0)</f>
        <v>PROD</v>
      </c>
      <c r="E366" s="25" t="s">
        <v>83</v>
      </c>
      <c r="F366" cm="1">
        <f t="array" ref="F36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66" cm="1">
        <f t="array" ref="G36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367" spans="1:7" x14ac:dyDescent="0.3">
      <c r="A367" s="8">
        <v>44835</v>
      </c>
      <c r="B367" s="20">
        <v>2</v>
      </c>
      <c r="C367" t="s">
        <v>53</v>
      </c>
      <c r="D367" t="str">
        <f>+VLOOKUP(C367,DIM_Mitarbeiter!A:D,4,0)</f>
        <v>PROD</v>
      </c>
      <c r="E367" t="s">
        <v>81</v>
      </c>
      <c r="F367" cm="1">
        <f t="array" ref="F36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67" cm="1">
        <f t="array" ref="G36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68" spans="1:7" x14ac:dyDescent="0.3">
      <c r="A368" s="8">
        <v>44835</v>
      </c>
      <c r="B368" s="20">
        <v>2</v>
      </c>
      <c r="C368" t="s">
        <v>63</v>
      </c>
      <c r="D368" t="str">
        <f>+VLOOKUP(C368,DIM_Mitarbeiter!A:D,4,0)</f>
        <v>VERKAUF</v>
      </c>
      <c r="E368" t="s">
        <v>81</v>
      </c>
      <c r="F368" cm="1">
        <f t="array" ref="F36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68" cm="1">
        <f t="array" ref="G36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69" spans="1:7" x14ac:dyDescent="0.3">
      <c r="A369" s="8">
        <v>44835</v>
      </c>
      <c r="B369" s="20">
        <v>2</v>
      </c>
      <c r="C369" t="s">
        <v>63</v>
      </c>
      <c r="D369" t="str">
        <f>+VLOOKUP(C369,DIM_Mitarbeiter!A:D,4,0)</f>
        <v>VERKAUF</v>
      </c>
      <c r="E369" t="s">
        <v>83</v>
      </c>
      <c r="F369" cm="1">
        <f t="array" ref="F36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69" cm="1">
        <f t="array" ref="G36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70" spans="1:7" x14ac:dyDescent="0.3">
      <c r="A370" s="8">
        <v>44835</v>
      </c>
      <c r="B370" s="20">
        <v>2</v>
      </c>
      <c r="C370" t="s">
        <v>72</v>
      </c>
      <c r="D370" t="str">
        <f>+VLOOKUP(C370,DIM_Mitarbeiter!A:D,4,0)</f>
        <v>PROD</v>
      </c>
      <c r="E370" t="s">
        <v>81</v>
      </c>
      <c r="F370" cm="1">
        <f t="array" ref="F37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70" cm="1">
        <f t="array" ref="G37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71" spans="1:7" x14ac:dyDescent="0.3">
      <c r="A371" s="8">
        <v>44835</v>
      </c>
      <c r="B371" s="20">
        <v>2</v>
      </c>
      <c r="C371" t="s">
        <v>72</v>
      </c>
      <c r="D371" t="str">
        <f>+VLOOKUP(C371,DIM_Mitarbeiter!A:D,4,0)</f>
        <v>PROD</v>
      </c>
      <c r="E371" t="s">
        <v>83</v>
      </c>
      <c r="F371" cm="1">
        <f t="array" ref="F37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71" cm="1">
        <f t="array" ref="G37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72" spans="1:7" x14ac:dyDescent="0.3">
      <c r="A372" s="33">
        <v>44835</v>
      </c>
      <c r="B372" s="20">
        <v>2</v>
      </c>
      <c r="C372" s="25" t="s">
        <v>46</v>
      </c>
      <c r="D372" t="str">
        <f>+VLOOKUP(C372,DIM_Mitarbeiter!A:D,4,0)</f>
        <v>PROD</v>
      </c>
      <c r="E372" t="s">
        <v>81</v>
      </c>
      <c r="F372" cm="1">
        <f t="array" ref="F37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72" cm="1">
        <f t="array" ref="G37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73" spans="1:7" x14ac:dyDescent="0.3">
      <c r="A373" s="33">
        <v>44835</v>
      </c>
      <c r="B373" s="20">
        <v>2</v>
      </c>
      <c r="C373" t="s">
        <v>46</v>
      </c>
      <c r="D373" t="str">
        <f>+VLOOKUP(C373,DIM_Mitarbeiter!A:D,4,0)</f>
        <v>PROD</v>
      </c>
      <c r="E373" t="s">
        <v>83</v>
      </c>
      <c r="F373" cm="1">
        <f t="array" ref="F37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73" cm="1">
        <f t="array" ref="G37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2</v>
      </c>
    </row>
    <row r="374" spans="1:7" x14ac:dyDescent="0.3">
      <c r="A374" s="8">
        <v>44835</v>
      </c>
      <c r="B374" s="20">
        <v>2</v>
      </c>
      <c r="C374" s="25" t="s">
        <v>39</v>
      </c>
      <c r="D374" t="str">
        <f>+VLOOKUP(C374,DIM_Mitarbeiter!A:D,4,0)</f>
        <v>VERW</v>
      </c>
      <c r="E374" s="25" t="s">
        <v>81</v>
      </c>
      <c r="F374" cm="1">
        <f t="array" ref="F37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74" cm="1">
        <f t="array" ref="G37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375" spans="1:7" x14ac:dyDescent="0.3">
      <c r="A375" s="8">
        <v>44835</v>
      </c>
      <c r="B375" s="20">
        <v>2</v>
      </c>
      <c r="C375" s="25" t="s">
        <v>39</v>
      </c>
      <c r="D375" t="str">
        <f>+VLOOKUP(C375,DIM_Mitarbeiter!A:D,4,0)</f>
        <v>VERW</v>
      </c>
      <c r="E375" t="s">
        <v>83</v>
      </c>
      <c r="F375" cm="1">
        <f t="array" ref="F37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75" cm="1">
        <f t="array" ref="G37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76" spans="1:7" x14ac:dyDescent="0.3">
      <c r="A376" s="8">
        <v>44835</v>
      </c>
      <c r="B376" s="20">
        <v>3</v>
      </c>
      <c r="C376" t="s">
        <v>56</v>
      </c>
      <c r="D376" t="str">
        <f>+VLOOKUP(C376,DIM_Mitarbeiter!A:D,4,0)</f>
        <v>VERKAUF</v>
      </c>
      <c r="E376" t="s">
        <v>81</v>
      </c>
      <c r="F376" cm="1">
        <f t="array" ref="F37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76" cm="1">
        <f t="array" ref="G37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77" spans="1:7" x14ac:dyDescent="0.3">
      <c r="A377" s="8">
        <v>44835</v>
      </c>
      <c r="B377" s="20">
        <v>3</v>
      </c>
      <c r="C377" t="s">
        <v>56</v>
      </c>
      <c r="D377" t="str">
        <f>+VLOOKUP(C377,DIM_Mitarbeiter!A:D,4,0)</f>
        <v>VERKAUF</v>
      </c>
      <c r="E377" t="s">
        <v>83</v>
      </c>
      <c r="F377" cm="1">
        <f t="array" ref="F37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77" cm="1">
        <f t="array" ref="G37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78" spans="1:7" x14ac:dyDescent="0.3">
      <c r="A378" s="8">
        <v>44835</v>
      </c>
      <c r="B378" s="20">
        <v>3</v>
      </c>
      <c r="C378" s="25" t="s">
        <v>43</v>
      </c>
      <c r="D378" t="str">
        <f>+VLOOKUP(C378,DIM_Mitarbeiter!A:D,4,0)</f>
        <v>VERW</v>
      </c>
      <c r="E378" s="25" t="s">
        <v>83</v>
      </c>
      <c r="F378" cm="1">
        <f t="array" ref="F37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78" cm="1">
        <f t="array" ref="G37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2</v>
      </c>
    </row>
    <row r="379" spans="1:7" x14ac:dyDescent="0.3">
      <c r="A379" s="8">
        <v>44835</v>
      </c>
      <c r="B379" s="20">
        <v>3</v>
      </c>
      <c r="C379" s="25" t="s">
        <v>43</v>
      </c>
      <c r="D379" t="str">
        <f>+VLOOKUP(C379,DIM_Mitarbeiter!A:D,4,0)</f>
        <v>VERW</v>
      </c>
      <c r="E379" t="s">
        <v>81</v>
      </c>
      <c r="F379" cm="1">
        <f t="array" ref="F37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79" cm="1">
        <f t="array" ref="G37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80" spans="1:7" x14ac:dyDescent="0.3">
      <c r="A380" s="8">
        <v>44835</v>
      </c>
      <c r="B380" s="20">
        <v>3</v>
      </c>
      <c r="C380" s="25" t="s">
        <v>50</v>
      </c>
      <c r="D380" t="str">
        <f>+VLOOKUP(C380,DIM_Mitarbeiter!A:D,4,0)</f>
        <v>PROD</v>
      </c>
      <c r="E380" s="25" t="s">
        <v>83</v>
      </c>
      <c r="F380" cm="1">
        <f t="array" ref="F38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80" cm="1">
        <f t="array" ref="G38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81" spans="1:7" x14ac:dyDescent="0.3">
      <c r="A381" s="8">
        <v>44835</v>
      </c>
      <c r="B381" s="20">
        <v>3</v>
      </c>
      <c r="C381" t="s">
        <v>50</v>
      </c>
      <c r="D381" t="str">
        <f>+VLOOKUP(C381,DIM_Mitarbeiter!A:D,4,0)</f>
        <v>PROD</v>
      </c>
      <c r="E381" t="s">
        <v>81</v>
      </c>
      <c r="F381" cm="1">
        <f t="array" ref="F38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81" cm="1">
        <f t="array" ref="G38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82" spans="1:7" x14ac:dyDescent="0.3">
      <c r="A382" s="8">
        <v>44835</v>
      </c>
      <c r="B382" s="20">
        <v>3</v>
      </c>
      <c r="C382" t="s">
        <v>66</v>
      </c>
      <c r="D382" t="str">
        <f>+VLOOKUP(C382,DIM_Mitarbeiter!A:D,4,0)</f>
        <v>VERW</v>
      </c>
      <c r="E382" t="s">
        <v>81</v>
      </c>
      <c r="F382" cm="1">
        <f t="array" ref="F38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82" cm="1">
        <f t="array" ref="G38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83" spans="1:7" x14ac:dyDescent="0.3">
      <c r="A383" s="8">
        <v>44835</v>
      </c>
      <c r="B383" s="20">
        <v>3</v>
      </c>
      <c r="C383" t="s">
        <v>66</v>
      </c>
      <c r="D383" t="str">
        <f>+VLOOKUP(C383,DIM_Mitarbeiter!A:D,4,0)</f>
        <v>VERW</v>
      </c>
      <c r="E383" t="s">
        <v>83</v>
      </c>
      <c r="F383" cm="1">
        <f t="array" ref="F38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83" cm="1">
        <f t="array" ref="G38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84" spans="1:7" x14ac:dyDescent="0.3">
      <c r="A384" s="8">
        <v>44835</v>
      </c>
      <c r="B384" s="20">
        <v>3</v>
      </c>
      <c r="C384" t="s">
        <v>60</v>
      </c>
      <c r="D384" t="str">
        <f>+VLOOKUP(C384,DIM_Mitarbeiter!A:D,4,0)</f>
        <v>VERKAUF</v>
      </c>
      <c r="E384" t="s">
        <v>81</v>
      </c>
      <c r="F384" cm="1">
        <f t="array" ref="F38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84" cm="1">
        <f t="array" ref="G38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85" spans="1:7" x14ac:dyDescent="0.3">
      <c r="A385" s="8">
        <v>44835</v>
      </c>
      <c r="B385" s="20">
        <v>3</v>
      </c>
      <c r="C385" t="s">
        <v>60</v>
      </c>
      <c r="D385" t="str">
        <f>+VLOOKUP(C385,DIM_Mitarbeiter!A:D,4,0)</f>
        <v>VERKAUF</v>
      </c>
      <c r="E385" t="s">
        <v>83</v>
      </c>
      <c r="F385" cm="1">
        <f t="array" ref="F38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85" cm="1">
        <f t="array" ref="G38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386" spans="1:7" x14ac:dyDescent="0.3">
      <c r="A386" s="8">
        <v>44835</v>
      </c>
      <c r="B386" s="20">
        <v>3</v>
      </c>
      <c r="C386" t="s">
        <v>69</v>
      </c>
      <c r="D386" t="str">
        <f>+VLOOKUP(C386,DIM_Mitarbeiter!A:D,4,0)</f>
        <v>VERKAUF</v>
      </c>
      <c r="E386" t="s">
        <v>81</v>
      </c>
      <c r="F386" cm="1">
        <f t="array" ref="F38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86" cm="1">
        <f t="array" ref="G38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87" spans="1:7" x14ac:dyDescent="0.3">
      <c r="A387" s="8">
        <v>44835</v>
      </c>
      <c r="B387" s="20">
        <v>3</v>
      </c>
      <c r="C387" t="s">
        <v>69</v>
      </c>
      <c r="D387" t="str">
        <f>+VLOOKUP(C387,DIM_Mitarbeiter!A:D,4,0)</f>
        <v>VERKAUF</v>
      </c>
      <c r="E387" t="s">
        <v>83</v>
      </c>
      <c r="F387" cm="1">
        <f t="array" ref="F38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87" cm="1">
        <f t="array" ref="G38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88" spans="1:7" x14ac:dyDescent="0.3">
      <c r="A388" s="8">
        <v>44835</v>
      </c>
      <c r="B388" s="20">
        <v>3</v>
      </c>
      <c r="C388" s="25" t="s">
        <v>53</v>
      </c>
      <c r="D388" t="str">
        <f>+VLOOKUP(C388,DIM_Mitarbeiter!A:D,4,0)</f>
        <v>PROD</v>
      </c>
      <c r="E388" s="25" t="s">
        <v>83</v>
      </c>
      <c r="F388" cm="1">
        <f t="array" ref="F38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88" cm="1">
        <f t="array" ref="G38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389" spans="1:7" x14ac:dyDescent="0.3">
      <c r="A389" s="8">
        <v>44835</v>
      </c>
      <c r="B389" s="20">
        <v>3</v>
      </c>
      <c r="C389" t="s">
        <v>53</v>
      </c>
      <c r="D389" t="str">
        <f>+VLOOKUP(C389,DIM_Mitarbeiter!A:D,4,0)</f>
        <v>PROD</v>
      </c>
      <c r="E389" t="s">
        <v>81</v>
      </c>
      <c r="F389" cm="1">
        <f t="array" ref="F38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89" cm="1">
        <f t="array" ref="G38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90" spans="1:7" x14ac:dyDescent="0.3">
      <c r="A390" s="8">
        <v>44835</v>
      </c>
      <c r="B390" s="20">
        <v>3</v>
      </c>
      <c r="C390" t="s">
        <v>63</v>
      </c>
      <c r="D390" t="str">
        <f>+VLOOKUP(C390,DIM_Mitarbeiter!A:D,4,0)</f>
        <v>VERKAUF</v>
      </c>
      <c r="E390" t="s">
        <v>81</v>
      </c>
      <c r="F390" cm="1">
        <f t="array" ref="F39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90" cm="1">
        <f t="array" ref="G39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91" spans="1:7" x14ac:dyDescent="0.3">
      <c r="A391" s="8">
        <v>44835</v>
      </c>
      <c r="B391" s="20">
        <v>3</v>
      </c>
      <c r="C391" t="s">
        <v>63</v>
      </c>
      <c r="D391" t="str">
        <f>+VLOOKUP(C391,DIM_Mitarbeiter!A:D,4,0)</f>
        <v>VERKAUF</v>
      </c>
      <c r="E391" t="s">
        <v>83</v>
      </c>
      <c r="F391" cm="1">
        <f t="array" ref="F39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91" cm="1">
        <f t="array" ref="G39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92" spans="1:7" x14ac:dyDescent="0.3">
      <c r="A392" s="8">
        <v>44835</v>
      </c>
      <c r="B392" s="20">
        <v>3</v>
      </c>
      <c r="C392" t="s">
        <v>72</v>
      </c>
      <c r="D392" t="str">
        <f>+VLOOKUP(C392,DIM_Mitarbeiter!A:D,4,0)</f>
        <v>PROD</v>
      </c>
      <c r="E392" t="s">
        <v>81</v>
      </c>
      <c r="F392" cm="1">
        <f t="array" ref="F39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92" cm="1">
        <f t="array" ref="G39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93" spans="1:7" x14ac:dyDescent="0.3">
      <c r="A393" s="8">
        <v>44835</v>
      </c>
      <c r="B393" s="20">
        <v>3</v>
      </c>
      <c r="C393" t="s">
        <v>72</v>
      </c>
      <c r="D393" t="str">
        <f>+VLOOKUP(C393,DIM_Mitarbeiter!A:D,4,0)</f>
        <v>PROD</v>
      </c>
      <c r="E393" t="s">
        <v>83</v>
      </c>
      <c r="F393" cm="1">
        <f t="array" ref="F39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93" cm="1">
        <f t="array" ref="G39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94" spans="1:7" x14ac:dyDescent="0.3">
      <c r="A394" s="33">
        <v>44835</v>
      </c>
      <c r="B394" s="20">
        <v>3</v>
      </c>
      <c r="C394" s="25" t="s">
        <v>46</v>
      </c>
      <c r="D394" t="str">
        <f>+VLOOKUP(C394,DIM_Mitarbeiter!A:D,4,0)</f>
        <v>PROD</v>
      </c>
      <c r="E394" t="s">
        <v>81</v>
      </c>
      <c r="F394" cm="1">
        <f t="array" ref="F39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94" cm="1">
        <f t="array" ref="G39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95" spans="1:7" x14ac:dyDescent="0.3">
      <c r="A395" s="33">
        <v>44835</v>
      </c>
      <c r="B395" s="20">
        <v>3</v>
      </c>
      <c r="C395" t="s">
        <v>46</v>
      </c>
      <c r="D395" t="str">
        <f>+VLOOKUP(C395,DIM_Mitarbeiter!A:D,4,0)</f>
        <v>PROD</v>
      </c>
      <c r="E395" t="s">
        <v>83</v>
      </c>
      <c r="F395" cm="1">
        <f t="array" ref="F39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95" cm="1">
        <f t="array" ref="G39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2</v>
      </c>
    </row>
    <row r="396" spans="1:7" x14ac:dyDescent="0.3">
      <c r="A396" s="8">
        <v>44835</v>
      </c>
      <c r="B396" s="20">
        <v>3</v>
      </c>
      <c r="C396" s="25" t="s">
        <v>39</v>
      </c>
      <c r="D396" t="str">
        <f>+VLOOKUP(C396,DIM_Mitarbeiter!A:D,4,0)</f>
        <v>VERW</v>
      </c>
      <c r="E396" s="25" t="s">
        <v>81</v>
      </c>
      <c r="F396" cm="1">
        <f t="array" ref="F39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96" cm="1">
        <f t="array" ref="G39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397" spans="1:7" x14ac:dyDescent="0.3">
      <c r="A397" s="8">
        <v>44835</v>
      </c>
      <c r="B397" s="20">
        <v>3</v>
      </c>
      <c r="C397" s="25" t="s">
        <v>39</v>
      </c>
      <c r="D397" t="str">
        <f>+VLOOKUP(C397,DIM_Mitarbeiter!A:D,4,0)</f>
        <v>VERW</v>
      </c>
      <c r="E397" t="s">
        <v>83</v>
      </c>
      <c r="F397" cm="1">
        <f t="array" ref="F39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97" cm="1">
        <f t="array" ref="G39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98" spans="1:7" x14ac:dyDescent="0.3">
      <c r="A398" s="8">
        <v>44835</v>
      </c>
      <c r="B398" s="20">
        <v>4</v>
      </c>
      <c r="C398" t="s">
        <v>56</v>
      </c>
      <c r="D398" t="str">
        <f>+VLOOKUP(C398,DIM_Mitarbeiter!A:D,4,0)</f>
        <v>VERKAUF</v>
      </c>
      <c r="E398" t="s">
        <v>81</v>
      </c>
      <c r="F398" cm="1">
        <f t="array" ref="F39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98" cm="1">
        <f t="array" ref="G39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399" spans="1:7" x14ac:dyDescent="0.3">
      <c r="A399" s="8">
        <v>44835</v>
      </c>
      <c r="B399" s="20">
        <v>4</v>
      </c>
      <c r="C399" t="s">
        <v>56</v>
      </c>
      <c r="D399" t="str">
        <f>+VLOOKUP(C399,DIM_Mitarbeiter!A:D,4,0)</f>
        <v>VERKAUF</v>
      </c>
      <c r="E399" t="s">
        <v>83</v>
      </c>
      <c r="F399" cm="1">
        <f t="array" ref="F39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399" cm="1">
        <f t="array" ref="G39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00" spans="1:7" x14ac:dyDescent="0.3">
      <c r="A400" s="8">
        <v>44835</v>
      </c>
      <c r="B400" s="20">
        <v>4</v>
      </c>
      <c r="C400" s="25" t="s">
        <v>43</v>
      </c>
      <c r="D400" t="str">
        <f>+VLOOKUP(C400,DIM_Mitarbeiter!A:D,4,0)</f>
        <v>VERW</v>
      </c>
      <c r="E400" s="25" t="s">
        <v>83</v>
      </c>
      <c r="F400" cm="1">
        <f t="array" ref="F40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00" cm="1">
        <f t="array" ref="G40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2</v>
      </c>
    </row>
    <row r="401" spans="1:7" x14ac:dyDescent="0.3">
      <c r="A401" s="8">
        <v>44835</v>
      </c>
      <c r="B401" s="20">
        <v>4</v>
      </c>
      <c r="C401" s="25" t="s">
        <v>43</v>
      </c>
      <c r="D401" t="str">
        <f>+VLOOKUP(C401,DIM_Mitarbeiter!A:D,4,0)</f>
        <v>VERW</v>
      </c>
      <c r="E401" t="s">
        <v>81</v>
      </c>
      <c r="F401" cm="1">
        <f t="array" ref="F40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01" cm="1">
        <f t="array" ref="G40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02" spans="1:7" x14ac:dyDescent="0.3">
      <c r="A402" s="8">
        <v>44835</v>
      </c>
      <c r="B402" s="20">
        <v>4</v>
      </c>
      <c r="C402" t="s">
        <v>50</v>
      </c>
      <c r="D402" t="str">
        <f>+VLOOKUP(C402,DIM_Mitarbeiter!A:D,4,0)</f>
        <v>PROD</v>
      </c>
      <c r="E402" t="s">
        <v>81</v>
      </c>
      <c r="F402" cm="1">
        <f t="array" ref="F40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02" cm="1">
        <f t="array" ref="G40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03" spans="1:7" x14ac:dyDescent="0.3">
      <c r="A403" s="8">
        <v>44835</v>
      </c>
      <c r="B403" s="20">
        <v>4</v>
      </c>
      <c r="C403" t="s">
        <v>50</v>
      </c>
      <c r="D403" t="str">
        <f>+VLOOKUP(C403,DIM_Mitarbeiter!A:D,4,0)</f>
        <v>PROD</v>
      </c>
      <c r="E403" t="s">
        <v>83</v>
      </c>
      <c r="F403" cm="1">
        <f t="array" ref="F40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03" cm="1">
        <f t="array" ref="G40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04" spans="1:7" x14ac:dyDescent="0.3">
      <c r="A404" s="8">
        <v>44835</v>
      </c>
      <c r="B404" s="20">
        <v>4</v>
      </c>
      <c r="C404" t="s">
        <v>66</v>
      </c>
      <c r="D404" t="str">
        <f>+VLOOKUP(C404,DIM_Mitarbeiter!A:D,4,0)</f>
        <v>VERW</v>
      </c>
      <c r="E404" t="s">
        <v>81</v>
      </c>
      <c r="F404" cm="1">
        <f t="array" ref="F40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04" cm="1">
        <f t="array" ref="G40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05" spans="1:7" x14ac:dyDescent="0.3">
      <c r="A405" s="8">
        <v>44835</v>
      </c>
      <c r="B405" s="20">
        <v>4</v>
      </c>
      <c r="C405" t="s">
        <v>66</v>
      </c>
      <c r="D405" t="str">
        <f>+VLOOKUP(C405,DIM_Mitarbeiter!A:D,4,0)</f>
        <v>VERW</v>
      </c>
      <c r="E405" t="s">
        <v>83</v>
      </c>
      <c r="F405" cm="1">
        <f t="array" ref="F40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05" cm="1">
        <f t="array" ref="G40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06" spans="1:7" x14ac:dyDescent="0.3">
      <c r="A406" s="8">
        <v>44835</v>
      </c>
      <c r="B406" s="20">
        <v>4</v>
      </c>
      <c r="C406" t="s">
        <v>60</v>
      </c>
      <c r="D406" t="str">
        <f>+VLOOKUP(C406,DIM_Mitarbeiter!A:D,4,0)</f>
        <v>VERKAUF</v>
      </c>
      <c r="E406" t="s">
        <v>81</v>
      </c>
      <c r="F406" cm="1">
        <f t="array" ref="F40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06" cm="1">
        <f t="array" ref="G40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07" spans="1:7" x14ac:dyDescent="0.3">
      <c r="A407" s="8">
        <v>44835</v>
      </c>
      <c r="B407" s="20">
        <v>4</v>
      </c>
      <c r="C407" t="s">
        <v>60</v>
      </c>
      <c r="D407" t="str">
        <f>+VLOOKUP(C407,DIM_Mitarbeiter!A:D,4,0)</f>
        <v>VERKAUF</v>
      </c>
      <c r="E407" t="s">
        <v>83</v>
      </c>
      <c r="F407" cm="1">
        <f t="array" ref="F40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07" cm="1">
        <f t="array" ref="G40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408" spans="1:7" x14ac:dyDescent="0.3">
      <c r="A408" s="8">
        <v>44835</v>
      </c>
      <c r="B408" s="20">
        <v>4</v>
      </c>
      <c r="C408" t="s">
        <v>69</v>
      </c>
      <c r="D408" t="str">
        <f>+VLOOKUP(C408,DIM_Mitarbeiter!A:D,4,0)</f>
        <v>VERKAUF</v>
      </c>
      <c r="E408" t="s">
        <v>81</v>
      </c>
      <c r="F408" cm="1">
        <f t="array" ref="F40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08" cm="1">
        <f t="array" ref="G40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09" spans="1:7" x14ac:dyDescent="0.3">
      <c r="A409" s="8">
        <v>44835</v>
      </c>
      <c r="B409" s="20">
        <v>4</v>
      </c>
      <c r="C409" t="s">
        <v>69</v>
      </c>
      <c r="D409" t="str">
        <f>+VLOOKUP(C409,DIM_Mitarbeiter!A:D,4,0)</f>
        <v>VERKAUF</v>
      </c>
      <c r="E409" t="s">
        <v>83</v>
      </c>
      <c r="F409" cm="1">
        <f t="array" ref="F40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09" cm="1">
        <f t="array" ref="G40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10" spans="1:7" x14ac:dyDescent="0.3">
      <c r="A410" s="8">
        <v>44835</v>
      </c>
      <c r="B410" s="20">
        <v>4</v>
      </c>
      <c r="C410" s="25" t="s">
        <v>53</v>
      </c>
      <c r="D410" t="str">
        <f>+VLOOKUP(C410,DIM_Mitarbeiter!A:D,4,0)</f>
        <v>PROD</v>
      </c>
      <c r="E410" s="25" t="s">
        <v>81</v>
      </c>
      <c r="F410" cm="1">
        <f t="array" ref="F41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10" cm="1">
        <f t="array" ref="G41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11" spans="1:7" x14ac:dyDescent="0.3">
      <c r="A411" s="8">
        <v>44835</v>
      </c>
      <c r="B411" s="20">
        <v>4</v>
      </c>
      <c r="C411" s="25" t="s">
        <v>53</v>
      </c>
      <c r="D411" t="str">
        <f>+VLOOKUP(C411,DIM_Mitarbeiter!A:D,4,0)</f>
        <v>PROD</v>
      </c>
      <c r="E411" s="25" t="s">
        <v>83</v>
      </c>
      <c r="F411" cm="1">
        <f t="array" ref="F41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11" cm="1">
        <f t="array" ref="G41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412" spans="1:7" x14ac:dyDescent="0.3">
      <c r="A412" s="8">
        <v>44835</v>
      </c>
      <c r="B412" s="20">
        <v>4</v>
      </c>
      <c r="C412" t="s">
        <v>63</v>
      </c>
      <c r="D412" t="str">
        <f>+VLOOKUP(C412,DIM_Mitarbeiter!A:D,4,0)</f>
        <v>VERKAUF</v>
      </c>
      <c r="E412" t="s">
        <v>81</v>
      </c>
      <c r="F412" cm="1">
        <f t="array" ref="F41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12" cm="1">
        <f t="array" ref="G41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413" spans="1:7" x14ac:dyDescent="0.3">
      <c r="A413" s="8">
        <v>44835</v>
      </c>
      <c r="B413" s="20">
        <v>4</v>
      </c>
      <c r="C413" t="s">
        <v>63</v>
      </c>
      <c r="D413" t="str">
        <f>+VLOOKUP(C413,DIM_Mitarbeiter!A:D,4,0)</f>
        <v>VERKAUF</v>
      </c>
      <c r="E413" t="s">
        <v>83</v>
      </c>
      <c r="F413" cm="1">
        <f t="array" ref="F41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13" cm="1">
        <f t="array" ref="G41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14" spans="1:7" x14ac:dyDescent="0.3">
      <c r="A414" s="8">
        <v>44835</v>
      </c>
      <c r="B414" s="20">
        <v>4</v>
      </c>
      <c r="C414" t="s">
        <v>72</v>
      </c>
      <c r="D414" t="str">
        <f>+VLOOKUP(C414,DIM_Mitarbeiter!A:D,4,0)</f>
        <v>PROD</v>
      </c>
      <c r="E414" t="s">
        <v>81</v>
      </c>
      <c r="F414" cm="1">
        <f t="array" ref="F41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14" cm="1">
        <f t="array" ref="G41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15" spans="1:7" x14ac:dyDescent="0.3">
      <c r="A415" s="8">
        <v>44835</v>
      </c>
      <c r="B415" s="20">
        <v>4</v>
      </c>
      <c r="C415" t="s">
        <v>72</v>
      </c>
      <c r="D415" t="str">
        <f>+VLOOKUP(C415,DIM_Mitarbeiter!A:D,4,0)</f>
        <v>PROD</v>
      </c>
      <c r="E415" t="s">
        <v>83</v>
      </c>
      <c r="F415" cm="1">
        <f t="array" ref="F41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15" cm="1">
        <f t="array" ref="G41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16" spans="1:7" x14ac:dyDescent="0.3">
      <c r="A416" s="33">
        <v>44835</v>
      </c>
      <c r="B416" s="20">
        <v>4</v>
      </c>
      <c r="C416" s="25" t="s">
        <v>46</v>
      </c>
      <c r="D416" t="str">
        <f>+VLOOKUP(C416,DIM_Mitarbeiter!A:D,4,0)</f>
        <v>PROD</v>
      </c>
      <c r="E416" s="25" t="s">
        <v>81</v>
      </c>
      <c r="F416" cm="1">
        <f t="array" ref="F41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16" cm="1">
        <f t="array" ref="G41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17" spans="1:7" x14ac:dyDescent="0.3">
      <c r="A417" s="33">
        <v>44835</v>
      </c>
      <c r="B417" s="20">
        <v>4</v>
      </c>
      <c r="C417" t="s">
        <v>46</v>
      </c>
      <c r="D417" t="str">
        <f>+VLOOKUP(C417,DIM_Mitarbeiter!A:D,4,0)</f>
        <v>PROD</v>
      </c>
      <c r="E417" t="s">
        <v>83</v>
      </c>
      <c r="F417" cm="1">
        <f t="array" ref="F41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17" cm="1">
        <f t="array" ref="G41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2</v>
      </c>
    </row>
    <row r="418" spans="1:7" x14ac:dyDescent="0.3">
      <c r="A418" s="8">
        <v>44835</v>
      </c>
      <c r="B418" s="20">
        <v>4</v>
      </c>
      <c r="C418" s="25" t="s">
        <v>39</v>
      </c>
      <c r="D418" t="str">
        <f>+VLOOKUP(C418,DIM_Mitarbeiter!A:D,4,0)</f>
        <v>VERW</v>
      </c>
      <c r="E418" s="25" t="s">
        <v>83</v>
      </c>
      <c r="F418" cm="1">
        <f t="array" ref="F41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18" cm="1">
        <f t="array" ref="G41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19" spans="1:7" x14ac:dyDescent="0.3">
      <c r="A419" s="8">
        <v>44835</v>
      </c>
      <c r="B419" s="20">
        <v>4</v>
      </c>
      <c r="C419" s="25" t="s">
        <v>39</v>
      </c>
      <c r="D419" t="str">
        <f>+VLOOKUP(C419,DIM_Mitarbeiter!A:D,4,0)</f>
        <v>VERW</v>
      </c>
      <c r="E419" t="s">
        <v>81</v>
      </c>
      <c r="F419" cm="1">
        <f t="array" ref="F41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19" cm="1">
        <f t="array" ref="G41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420" spans="1:7" x14ac:dyDescent="0.3">
      <c r="A420" s="8">
        <v>44835</v>
      </c>
      <c r="B420" s="20">
        <v>5</v>
      </c>
      <c r="C420" t="s">
        <v>56</v>
      </c>
      <c r="D420" t="str">
        <f>+VLOOKUP(C420,DIM_Mitarbeiter!A:D,4,0)</f>
        <v>VERKAUF</v>
      </c>
      <c r="E420" t="s">
        <v>81</v>
      </c>
      <c r="F420" cm="1">
        <f t="array" ref="F42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20" cm="1">
        <f t="array" ref="G42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421" spans="1:7" x14ac:dyDescent="0.3">
      <c r="A421" s="8">
        <v>44835</v>
      </c>
      <c r="B421" s="20">
        <v>5</v>
      </c>
      <c r="C421" t="s">
        <v>56</v>
      </c>
      <c r="D421" t="str">
        <f>+VLOOKUP(C421,DIM_Mitarbeiter!A:D,4,0)</f>
        <v>VERKAUF</v>
      </c>
      <c r="E421" t="s">
        <v>83</v>
      </c>
      <c r="F421" cm="1">
        <f t="array" ref="F42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21" cm="1">
        <f t="array" ref="G42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22" spans="1:7" x14ac:dyDescent="0.3">
      <c r="A422" s="8">
        <v>44835</v>
      </c>
      <c r="B422" s="20">
        <v>5</v>
      </c>
      <c r="C422" s="25" t="s">
        <v>43</v>
      </c>
      <c r="D422" t="str">
        <f>+VLOOKUP(C422,DIM_Mitarbeiter!A:D,4,0)</f>
        <v>VERW</v>
      </c>
      <c r="E422" s="25" t="s">
        <v>81</v>
      </c>
      <c r="F422" cm="1">
        <f t="array" ref="F42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22" cm="1">
        <f t="array" ref="G42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23" spans="1:7" x14ac:dyDescent="0.3">
      <c r="A423" s="8">
        <v>44835</v>
      </c>
      <c r="B423" s="20">
        <v>5</v>
      </c>
      <c r="C423" s="25" t="s">
        <v>43</v>
      </c>
      <c r="D423" t="str">
        <f>+VLOOKUP(C423,DIM_Mitarbeiter!A:D,4,0)</f>
        <v>VERW</v>
      </c>
      <c r="E423" s="25" t="s">
        <v>83</v>
      </c>
      <c r="F423" cm="1">
        <f t="array" ref="F42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23" cm="1">
        <f t="array" ref="G42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2</v>
      </c>
    </row>
    <row r="424" spans="1:7" x14ac:dyDescent="0.3">
      <c r="A424" s="8">
        <v>44835</v>
      </c>
      <c r="B424" s="20">
        <v>5</v>
      </c>
      <c r="C424" t="s">
        <v>50</v>
      </c>
      <c r="D424" t="str">
        <f>+VLOOKUP(C424,DIM_Mitarbeiter!A:D,4,0)</f>
        <v>PROD</v>
      </c>
      <c r="E424" t="s">
        <v>81</v>
      </c>
      <c r="F424" cm="1">
        <f t="array" ref="F42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24" cm="1">
        <f t="array" ref="G42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25" spans="1:7" x14ac:dyDescent="0.3">
      <c r="A425" s="8">
        <v>44835</v>
      </c>
      <c r="B425" s="20">
        <v>5</v>
      </c>
      <c r="C425" t="s">
        <v>50</v>
      </c>
      <c r="D425" t="str">
        <f>+VLOOKUP(C425,DIM_Mitarbeiter!A:D,4,0)</f>
        <v>PROD</v>
      </c>
      <c r="E425" t="s">
        <v>83</v>
      </c>
      <c r="F425" cm="1">
        <f t="array" ref="F42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25" cm="1">
        <f t="array" ref="G42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26" spans="1:7" x14ac:dyDescent="0.3">
      <c r="A426" s="8">
        <v>44835</v>
      </c>
      <c r="B426" s="20">
        <v>5</v>
      </c>
      <c r="C426" t="s">
        <v>66</v>
      </c>
      <c r="D426" t="str">
        <f>+VLOOKUP(C426,DIM_Mitarbeiter!A:D,4,0)</f>
        <v>VERW</v>
      </c>
      <c r="E426" t="s">
        <v>81</v>
      </c>
      <c r="F426" cm="1">
        <f t="array" ref="F42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26" cm="1">
        <f t="array" ref="G42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27" spans="1:7" x14ac:dyDescent="0.3">
      <c r="A427" s="8">
        <v>44835</v>
      </c>
      <c r="B427" s="20">
        <v>5</v>
      </c>
      <c r="C427" t="s">
        <v>66</v>
      </c>
      <c r="D427" t="str">
        <f>+VLOOKUP(C427,DIM_Mitarbeiter!A:D,4,0)</f>
        <v>VERW</v>
      </c>
      <c r="E427" t="s">
        <v>83</v>
      </c>
      <c r="F427" cm="1">
        <f t="array" ref="F42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27" cm="1">
        <f t="array" ref="G42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28" spans="1:7" x14ac:dyDescent="0.3">
      <c r="A428" s="8">
        <v>44835</v>
      </c>
      <c r="B428" s="20">
        <v>5</v>
      </c>
      <c r="C428" t="s">
        <v>60</v>
      </c>
      <c r="D428" t="str">
        <f>+VLOOKUP(C428,DIM_Mitarbeiter!A:D,4,0)</f>
        <v>VERKAUF</v>
      </c>
      <c r="E428" t="s">
        <v>81</v>
      </c>
      <c r="F428" cm="1">
        <f t="array" ref="F42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28" cm="1">
        <f t="array" ref="G42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29" spans="1:7" x14ac:dyDescent="0.3">
      <c r="A429" s="8">
        <v>44835</v>
      </c>
      <c r="B429" s="20">
        <v>5</v>
      </c>
      <c r="C429" t="s">
        <v>60</v>
      </c>
      <c r="D429" t="str">
        <f>+VLOOKUP(C429,DIM_Mitarbeiter!A:D,4,0)</f>
        <v>VERKAUF</v>
      </c>
      <c r="E429" t="s">
        <v>83</v>
      </c>
      <c r="F429" cm="1">
        <f t="array" ref="F42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29" cm="1">
        <f t="array" ref="G42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430" spans="1:7" x14ac:dyDescent="0.3">
      <c r="A430" s="8">
        <v>44835</v>
      </c>
      <c r="B430" s="20">
        <v>5</v>
      </c>
      <c r="C430" t="s">
        <v>69</v>
      </c>
      <c r="D430" t="str">
        <f>+VLOOKUP(C430,DIM_Mitarbeiter!A:D,4,0)</f>
        <v>VERKAUF</v>
      </c>
      <c r="E430" t="s">
        <v>81</v>
      </c>
      <c r="F430" cm="1">
        <f t="array" ref="F43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30" cm="1">
        <f t="array" ref="G43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31" spans="1:7" x14ac:dyDescent="0.3">
      <c r="A431" s="8">
        <v>44835</v>
      </c>
      <c r="B431" s="20">
        <v>5</v>
      </c>
      <c r="C431" t="s">
        <v>69</v>
      </c>
      <c r="D431" t="str">
        <f>+VLOOKUP(C431,DIM_Mitarbeiter!A:D,4,0)</f>
        <v>VERKAUF</v>
      </c>
      <c r="E431" t="s">
        <v>83</v>
      </c>
      <c r="F431" cm="1">
        <f t="array" ref="F43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31" cm="1">
        <f t="array" ref="G43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32" spans="1:7" x14ac:dyDescent="0.3">
      <c r="A432" s="8">
        <v>44835</v>
      </c>
      <c r="B432" s="20">
        <v>5</v>
      </c>
      <c r="C432" t="s">
        <v>53</v>
      </c>
      <c r="D432" t="str">
        <f>+VLOOKUP(C432,DIM_Mitarbeiter!A:D,4,0)</f>
        <v>PROD</v>
      </c>
      <c r="E432" t="s">
        <v>81</v>
      </c>
      <c r="F432" cm="1">
        <f t="array" ref="F43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32" cm="1">
        <f t="array" ref="G43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33" spans="1:7" x14ac:dyDescent="0.3">
      <c r="A433" s="8">
        <v>44835</v>
      </c>
      <c r="B433" s="20">
        <v>5</v>
      </c>
      <c r="C433" t="s">
        <v>53</v>
      </c>
      <c r="D433" t="str">
        <f>+VLOOKUP(C433,DIM_Mitarbeiter!A:D,4,0)</f>
        <v>PROD</v>
      </c>
      <c r="E433" t="s">
        <v>83</v>
      </c>
      <c r="F433" cm="1">
        <f t="array" ref="F43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33" cm="1">
        <f t="array" ref="G43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434" spans="1:7" x14ac:dyDescent="0.3">
      <c r="A434" s="8">
        <v>44835</v>
      </c>
      <c r="B434" s="20">
        <v>5</v>
      </c>
      <c r="C434" t="s">
        <v>63</v>
      </c>
      <c r="D434" t="str">
        <f>+VLOOKUP(C434,DIM_Mitarbeiter!A:D,4,0)</f>
        <v>VERKAUF</v>
      </c>
      <c r="E434" t="s">
        <v>81</v>
      </c>
      <c r="F434" cm="1">
        <f t="array" ref="F43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34" cm="1">
        <f t="array" ref="G43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2</v>
      </c>
    </row>
    <row r="435" spans="1:7" x14ac:dyDescent="0.3">
      <c r="A435" s="8">
        <v>44835</v>
      </c>
      <c r="B435" s="20">
        <v>5</v>
      </c>
      <c r="C435" t="s">
        <v>63</v>
      </c>
      <c r="D435" t="str">
        <f>+VLOOKUP(C435,DIM_Mitarbeiter!A:D,4,0)</f>
        <v>VERKAUF</v>
      </c>
      <c r="E435" t="s">
        <v>83</v>
      </c>
      <c r="F435" cm="1">
        <f t="array" ref="F43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35" cm="1">
        <f t="array" ref="G43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36" spans="1:7" x14ac:dyDescent="0.3">
      <c r="A436" s="8">
        <v>44835</v>
      </c>
      <c r="B436" s="20">
        <v>5</v>
      </c>
      <c r="C436" t="s">
        <v>72</v>
      </c>
      <c r="D436" t="str">
        <f>+VLOOKUP(C436,DIM_Mitarbeiter!A:D,4,0)</f>
        <v>PROD</v>
      </c>
      <c r="E436" t="s">
        <v>81</v>
      </c>
      <c r="F436" cm="1">
        <f t="array" ref="F43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36" cm="1">
        <f t="array" ref="G43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37" spans="1:7" x14ac:dyDescent="0.3">
      <c r="A437" s="8">
        <v>44835</v>
      </c>
      <c r="B437" s="20">
        <v>5</v>
      </c>
      <c r="C437" t="s">
        <v>72</v>
      </c>
      <c r="D437" t="str">
        <f>+VLOOKUP(C437,DIM_Mitarbeiter!A:D,4,0)</f>
        <v>PROD</v>
      </c>
      <c r="E437" t="s">
        <v>83</v>
      </c>
      <c r="F437" cm="1">
        <f t="array" ref="F43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37" cm="1">
        <f t="array" ref="G43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38" spans="1:7" x14ac:dyDescent="0.3">
      <c r="A438" s="33">
        <v>44835</v>
      </c>
      <c r="B438" s="20">
        <v>5</v>
      </c>
      <c r="C438" s="25" t="s">
        <v>46</v>
      </c>
      <c r="D438" t="str">
        <f>+VLOOKUP(C438,DIM_Mitarbeiter!A:D,4,0)</f>
        <v>PROD</v>
      </c>
      <c r="E438" s="25" t="s">
        <v>81</v>
      </c>
      <c r="F438" cm="1">
        <f t="array" ref="F43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38" cm="1">
        <f t="array" ref="G43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39" spans="1:7" x14ac:dyDescent="0.3">
      <c r="A439" s="33">
        <v>44835</v>
      </c>
      <c r="B439" s="20">
        <v>5</v>
      </c>
      <c r="C439" t="s">
        <v>46</v>
      </c>
      <c r="D439" t="str">
        <f>+VLOOKUP(C439,DIM_Mitarbeiter!A:D,4,0)</f>
        <v>PROD</v>
      </c>
      <c r="E439" t="s">
        <v>83</v>
      </c>
      <c r="F439" cm="1">
        <f t="array" ref="F43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39" cm="1">
        <f t="array" ref="G43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2</v>
      </c>
    </row>
    <row r="440" spans="1:7" x14ac:dyDescent="0.3">
      <c r="A440" s="8">
        <v>44835</v>
      </c>
      <c r="B440" s="20">
        <v>5</v>
      </c>
      <c r="C440" s="25" t="s">
        <v>39</v>
      </c>
      <c r="D440" t="str">
        <f>+VLOOKUP(C440,DIM_Mitarbeiter!A:D,4,0)</f>
        <v>VERW</v>
      </c>
      <c r="E440" t="s">
        <v>81</v>
      </c>
      <c r="F440" cm="1">
        <f t="array" ref="F44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40" cm="1">
        <f t="array" ref="G44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441" spans="1:7" x14ac:dyDescent="0.3">
      <c r="A441" s="8">
        <v>44835</v>
      </c>
      <c r="B441" s="20">
        <v>5</v>
      </c>
      <c r="C441" s="25" t="s">
        <v>39</v>
      </c>
      <c r="D441" t="str">
        <f>+VLOOKUP(C441,DIM_Mitarbeiter!A:D,4,0)</f>
        <v>VERW</v>
      </c>
      <c r="E441" t="s">
        <v>83</v>
      </c>
      <c r="F441" cm="1">
        <f t="array" ref="F44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41" cm="1">
        <f t="array" ref="G44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42" spans="1:7" x14ac:dyDescent="0.3">
      <c r="A442" s="8">
        <v>44866</v>
      </c>
      <c r="B442" s="20">
        <v>1</v>
      </c>
      <c r="C442" t="s">
        <v>56</v>
      </c>
      <c r="D442" t="str">
        <f>+VLOOKUP(C442,DIM_Mitarbeiter!A:D,4,0)</f>
        <v>VERKAUF</v>
      </c>
      <c r="E442" t="s">
        <v>81</v>
      </c>
      <c r="F442" cm="1">
        <f t="array" ref="F44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42" cm="1">
        <f t="array" ref="G44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443" spans="1:7" x14ac:dyDescent="0.3">
      <c r="A443" s="8">
        <v>44866</v>
      </c>
      <c r="B443" s="20">
        <v>1</v>
      </c>
      <c r="C443" t="s">
        <v>56</v>
      </c>
      <c r="D443" t="str">
        <f>+VLOOKUP(C443,DIM_Mitarbeiter!A:D,4,0)</f>
        <v>VERKAUF</v>
      </c>
      <c r="E443" t="s">
        <v>83</v>
      </c>
      <c r="F443" cm="1">
        <f t="array" ref="F44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43" cm="1">
        <f t="array" ref="G44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444" spans="1:7" x14ac:dyDescent="0.3">
      <c r="A444" s="8">
        <v>44866</v>
      </c>
      <c r="B444" s="20">
        <v>1</v>
      </c>
      <c r="C444" s="25" t="s">
        <v>43</v>
      </c>
      <c r="D444" t="str">
        <f>+VLOOKUP(C444,DIM_Mitarbeiter!A:D,4,0)</f>
        <v>VERW</v>
      </c>
      <c r="E444" s="25" t="s">
        <v>83</v>
      </c>
      <c r="F444" cm="1">
        <f t="array" ref="F44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44" cm="1">
        <f t="array" ref="G44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45" spans="1:7" x14ac:dyDescent="0.3">
      <c r="A445" s="8">
        <v>44866</v>
      </c>
      <c r="B445" s="20">
        <v>1</v>
      </c>
      <c r="C445" s="25" t="s">
        <v>43</v>
      </c>
      <c r="D445" t="str">
        <f>+VLOOKUP(C445,DIM_Mitarbeiter!A:D,4,0)</f>
        <v>VERW</v>
      </c>
      <c r="E445" t="s">
        <v>81</v>
      </c>
      <c r="F445" cm="1">
        <f t="array" ref="F44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45" cm="1">
        <f t="array" ref="G44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446" spans="1:7" x14ac:dyDescent="0.3">
      <c r="A446" s="8">
        <v>44866</v>
      </c>
      <c r="B446" s="20">
        <v>1</v>
      </c>
      <c r="C446" s="25" t="s">
        <v>50</v>
      </c>
      <c r="D446" t="str">
        <f>+VLOOKUP(C446,DIM_Mitarbeiter!A:D,4,0)</f>
        <v>PROD</v>
      </c>
      <c r="E446" s="25" t="s">
        <v>81</v>
      </c>
      <c r="F446" cm="1">
        <f t="array" ref="F44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46" cm="1">
        <f t="array" ref="G44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47" spans="1:7" x14ac:dyDescent="0.3">
      <c r="A447" s="8">
        <v>44866</v>
      </c>
      <c r="B447" s="20">
        <v>1</v>
      </c>
      <c r="C447" t="s">
        <v>50</v>
      </c>
      <c r="D447" t="str">
        <f>+VLOOKUP(C447,DIM_Mitarbeiter!A:D,4,0)</f>
        <v>PROD</v>
      </c>
      <c r="E447" t="s">
        <v>83</v>
      </c>
      <c r="F447" cm="1">
        <f t="array" ref="F44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47" cm="1">
        <f t="array" ref="G44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448" spans="1:7" x14ac:dyDescent="0.3">
      <c r="A448" s="8">
        <v>44866</v>
      </c>
      <c r="B448" s="20">
        <v>1</v>
      </c>
      <c r="C448" t="s">
        <v>66</v>
      </c>
      <c r="D448" t="str">
        <f>+VLOOKUP(C448,DIM_Mitarbeiter!A:D,4,0)</f>
        <v>VERW</v>
      </c>
      <c r="E448" t="s">
        <v>81</v>
      </c>
      <c r="F448" cm="1">
        <f t="array" ref="F44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48" cm="1">
        <f t="array" ref="G44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449" spans="1:7" x14ac:dyDescent="0.3">
      <c r="A449" s="8">
        <v>44866</v>
      </c>
      <c r="B449" s="20">
        <v>1</v>
      </c>
      <c r="C449" t="s">
        <v>66</v>
      </c>
      <c r="D449" t="str">
        <f>+VLOOKUP(C449,DIM_Mitarbeiter!A:D,4,0)</f>
        <v>VERW</v>
      </c>
      <c r="E449" t="s">
        <v>83</v>
      </c>
      <c r="F449" cm="1">
        <f t="array" ref="F44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49" cm="1">
        <f t="array" ref="G44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50" spans="1:7" x14ac:dyDescent="0.3">
      <c r="A450" s="8">
        <v>44866</v>
      </c>
      <c r="B450" s="20">
        <v>1</v>
      </c>
      <c r="C450" t="s">
        <v>60</v>
      </c>
      <c r="D450" t="str">
        <f>+VLOOKUP(C450,DIM_Mitarbeiter!A:D,4,0)</f>
        <v>VERKAUF</v>
      </c>
      <c r="E450" t="s">
        <v>81</v>
      </c>
      <c r="F450" cm="1">
        <f t="array" ref="F45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50" cm="1">
        <f t="array" ref="G45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51" spans="1:7" x14ac:dyDescent="0.3">
      <c r="A451" s="8">
        <v>44866</v>
      </c>
      <c r="B451" s="20">
        <v>1</v>
      </c>
      <c r="C451" t="s">
        <v>60</v>
      </c>
      <c r="D451" t="str">
        <f>+VLOOKUP(C451,DIM_Mitarbeiter!A:D,4,0)</f>
        <v>VERKAUF</v>
      </c>
      <c r="E451" t="s">
        <v>83</v>
      </c>
      <c r="F451" cm="1">
        <f t="array" ref="F45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51" cm="1">
        <f t="array" ref="G45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52" spans="1:7" x14ac:dyDescent="0.3">
      <c r="A452" s="8">
        <v>44866</v>
      </c>
      <c r="B452" s="20">
        <v>1</v>
      </c>
      <c r="C452" t="s">
        <v>69</v>
      </c>
      <c r="D452" t="str">
        <f>+VLOOKUP(C452,DIM_Mitarbeiter!A:D,4,0)</f>
        <v>VERKAUF</v>
      </c>
      <c r="E452" t="s">
        <v>81</v>
      </c>
      <c r="F452" cm="1">
        <f t="array" ref="F45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52" cm="1">
        <f t="array" ref="G45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453" spans="1:7" x14ac:dyDescent="0.3">
      <c r="A453" s="8">
        <v>44866</v>
      </c>
      <c r="B453" s="20">
        <v>1</v>
      </c>
      <c r="C453" t="s">
        <v>69</v>
      </c>
      <c r="D453" t="str">
        <f>+VLOOKUP(C453,DIM_Mitarbeiter!A:D,4,0)</f>
        <v>VERKAUF</v>
      </c>
      <c r="E453" t="s">
        <v>83</v>
      </c>
      <c r="F453" cm="1">
        <f t="array" ref="F45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53" cm="1">
        <f t="array" ref="G45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54" spans="1:7" x14ac:dyDescent="0.3">
      <c r="A454" s="8">
        <v>44866</v>
      </c>
      <c r="B454" s="20">
        <v>1</v>
      </c>
      <c r="C454" t="s">
        <v>53</v>
      </c>
      <c r="D454" t="str">
        <f>+VLOOKUP(C454,DIM_Mitarbeiter!A:D,4,0)</f>
        <v>PROD</v>
      </c>
      <c r="E454" t="s">
        <v>81</v>
      </c>
      <c r="F454" cm="1">
        <f t="array" ref="F45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54" cm="1">
        <f t="array" ref="G45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455" spans="1:7" x14ac:dyDescent="0.3">
      <c r="A455" s="8">
        <v>44866</v>
      </c>
      <c r="B455" s="20">
        <v>1</v>
      </c>
      <c r="C455" t="s">
        <v>53</v>
      </c>
      <c r="D455" t="str">
        <f>+VLOOKUP(C455,DIM_Mitarbeiter!A:D,4,0)</f>
        <v>PROD</v>
      </c>
      <c r="E455" t="s">
        <v>83</v>
      </c>
      <c r="F455" cm="1">
        <f t="array" ref="F45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55" cm="1">
        <f t="array" ref="G45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56" spans="1:7" x14ac:dyDescent="0.3">
      <c r="A456" s="8">
        <v>44866</v>
      </c>
      <c r="B456" s="20">
        <v>1</v>
      </c>
      <c r="C456" t="s">
        <v>63</v>
      </c>
      <c r="D456" t="str">
        <f>+VLOOKUP(C456,DIM_Mitarbeiter!A:D,4,0)</f>
        <v>VERKAUF</v>
      </c>
      <c r="E456" t="s">
        <v>81</v>
      </c>
      <c r="F456" cm="1">
        <f t="array" ref="F45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56" cm="1">
        <f t="array" ref="G45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2</v>
      </c>
    </row>
    <row r="457" spans="1:7" x14ac:dyDescent="0.3">
      <c r="A457" s="8">
        <v>44866</v>
      </c>
      <c r="B457" s="20">
        <v>1</v>
      </c>
      <c r="C457" t="s">
        <v>63</v>
      </c>
      <c r="D457" t="str">
        <f>+VLOOKUP(C457,DIM_Mitarbeiter!A:D,4,0)</f>
        <v>VERKAUF</v>
      </c>
      <c r="E457" t="s">
        <v>83</v>
      </c>
      <c r="F457" cm="1">
        <f t="array" ref="F45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57" cm="1">
        <f t="array" ref="G45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458" spans="1:7" x14ac:dyDescent="0.3">
      <c r="A458" s="8">
        <v>44866</v>
      </c>
      <c r="B458" s="20">
        <v>1</v>
      </c>
      <c r="C458" t="s">
        <v>72</v>
      </c>
      <c r="D458" t="str">
        <f>+VLOOKUP(C458,DIM_Mitarbeiter!A:D,4,0)</f>
        <v>PROD</v>
      </c>
      <c r="E458" t="s">
        <v>81</v>
      </c>
      <c r="F458" cm="1">
        <f t="array" ref="F45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58" cm="1">
        <f t="array" ref="G45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59" spans="1:7" x14ac:dyDescent="0.3">
      <c r="A459" s="8">
        <v>44866</v>
      </c>
      <c r="B459" s="20">
        <v>1</v>
      </c>
      <c r="C459" t="s">
        <v>72</v>
      </c>
      <c r="D459" t="str">
        <f>+VLOOKUP(C459,DIM_Mitarbeiter!A:D,4,0)</f>
        <v>PROD</v>
      </c>
      <c r="E459" t="s">
        <v>83</v>
      </c>
      <c r="F459" cm="1">
        <f t="array" ref="F45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59" cm="1">
        <f t="array" ref="G45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2</v>
      </c>
    </row>
    <row r="460" spans="1:7" x14ac:dyDescent="0.3">
      <c r="A460" s="33">
        <v>44866</v>
      </c>
      <c r="B460" s="20">
        <v>1</v>
      </c>
      <c r="C460" s="25" t="s">
        <v>46</v>
      </c>
      <c r="D460" t="str">
        <f>+VLOOKUP(C460,DIM_Mitarbeiter!A:D,4,0)</f>
        <v>PROD</v>
      </c>
      <c r="E460" s="25" t="s">
        <v>83</v>
      </c>
      <c r="F460" cm="1">
        <f t="array" ref="F46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60" cm="1">
        <f t="array" ref="G46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61" spans="1:7" x14ac:dyDescent="0.3">
      <c r="A461" s="33">
        <v>44866</v>
      </c>
      <c r="B461" s="20">
        <v>1</v>
      </c>
      <c r="C461" t="s">
        <v>46</v>
      </c>
      <c r="D461" t="str">
        <f>+VLOOKUP(C461,DIM_Mitarbeiter!A:D,4,0)</f>
        <v>PROD</v>
      </c>
      <c r="E461" t="s">
        <v>81</v>
      </c>
      <c r="F461" cm="1">
        <f t="array" ref="F46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61" cm="1">
        <f t="array" ref="G46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462" spans="1:7" x14ac:dyDescent="0.3">
      <c r="A462" s="8">
        <v>44866</v>
      </c>
      <c r="B462" s="20">
        <v>1</v>
      </c>
      <c r="C462" s="25" t="s">
        <v>39</v>
      </c>
      <c r="D462" t="str">
        <f>+VLOOKUP(C462,DIM_Mitarbeiter!A:D,4,0)</f>
        <v>VERW</v>
      </c>
      <c r="E462" t="s">
        <v>81</v>
      </c>
      <c r="F462" cm="1">
        <f t="array" ref="F46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62" cm="1">
        <f t="array" ref="G46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463" spans="1:7" x14ac:dyDescent="0.3">
      <c r="A463" s="8">
        <v>44866</v>
      </c>
      <c r="B463" s="20">
        <v>1</v>
      </c>
      <c r="C463" s="25" t="s">
        <v>39</v>
      </c>
      <c r="D463" t="str">
        <f>+VLOOKUP(C463,DIM_Mitarbeiter!A:D,4,0)</f>
        <v>VERW</v>
      </c>
      <c r="E463" t="s">
        <v>83</v>
      </c>
      <c r="F463" cm="1">
        <f t="array" ref="F46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63" cm="1">
        <f t="array" ref="G46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64" spans="1:7" x14ac:dyDescent="0.3">
      <c r="A464" s="8">
        <v>44866</v>
      </c>
      <c r="B464" s="20">
        <v>2</v>
      </c>
      <c r="C464" t="s">
        <v>56</v>
      </c>
      <c r="D464" t="str">
        <f>+VLOOKUP(C464,DIM_Mitarbeiter!A:D,4,0)</f>
        <v>VERKAUF</v>
      </c>
      <c r="E464" t="s">
        <v>81</v>
      </c>
      <c r="F464" cm="1">
        <f t="array" ref="F46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64" cm="1">
        <f t="array" ref="G46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465" spans="1:7" x14ac:dyDescent="0.3">
      <c r="A465" s="8">
        <v>44866</v>
      </c>
      <c r="B465" s="20">
        <v>2</v>
      </c>
      <c r="C465" t="s">
        <v>56</v>
      </c>
      <c r="D465" t="str">
        <f>+VLOOKUP(C465,DIM_Mitarbeiter!A:D,4,0)</f>
        <v>VERKAUF</v>
      </c>
      <c r="E465" t="s">
        <v>83</v>
      </c>
      <c r="F465" cm="1">
        <f t="array" ref="F46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65" cm="1">
        <f t="array" ref="G46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466" spans="1:7" x14ac:dyDescent="0.3">
      <c r="A466" s="8">
        <v>44866</v>
      </c>
      <c r="B466" s="20">
        <v>2</v>
      </c>
      <c r="C466" s="25" t="s">
        <v>43</v>
      </c>
      <c r="D466" t="str">
        <f>+VLOOKUP(C466,DIM_Mitarbeiter!A:D,4,0)</f>
        <v>VERW</v>
      </c>
      <c r="E466" t="s">
        <v>81</v>
      </c>
      <c r="F466" cm="1">
        <f t="array" ref="F46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66" cm="1">
        <f t="array" ref="G46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467" spans="1:7" x14ac:dyDescent="0.3">
      <c r="A467" s="8">
        <v>44866</v>
      </c>
      <c r="B467" s="20">
        <v>2</v>
      </c>
      <c r="C467" s="25" t="s">
        <v>43</v>
      </c>
      <c r="D467" t="str">
        <f>+VLOOKUP(C467,DIM_Mitarbeiter!A:D,4,0)</f>
        <v>VERW</v>
      </c>
      <c r="E467" t="s">
        <v>83</v>
      </c>
      <c r="F467" cm="1">
        <f t="array" ref="F46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67" cm="1">
        <f t="array" ref="G46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68" spans="1:7" x14ac:dyDescent="0.3">
      <c r="A468" s="8">
        <v>44866</v>
      </c>
      <c r="B468" s="20">
        <v>2</v>
      </c>
      <c r="C468" s="25" t="s">
        <v>50</v>
      </c>
      <c r="D468" t="str">
        <f>+VLOOKUP(C468,DIM_Mitarbeiter!A:D,4,0)</f>
        <v>PROD</v>
      </c>
      <c r="E468" s="25" t="s">
        <v>81</v>
      </c>
      <c r="F468" cm="1">
        <f t="array" ref="F46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68" cm="1">
        <f t="array" ref="G46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469" spans="1:7" x14ac:dyDescent="0.3">
      <c r="A469" s="8">
        <v>44866</v>
      </c>
      <c r="B469" s="20">
        <v>2</v>
      </c>
      <c r="C469" t="s">
        <v>50</v>
      </c>
      <c r="D469" t="str">
        <f>+VLOOKUP(C469,DIM_Mitarbeiter!A:D,4,0)</f>
        <v>PROD</v>
      </c>
      <c r="E469" t="s">
        <v>83</v>
      </c>
      <c r="F469" cm="1">
        <f t="array" ref="F46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69" cm="1">
        <f t="array" ref="G46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470" spans="1:7" x14ac:dyDescent="0.3">
      <c r="A470" s="8">
        <v>44866</v>
      </c>
      <c r="B470" s="20">
        <v>2</v>
      </c>
      <c r="C470" t="s">
        <v>66</v>
      </c>
      <c r="D470" t="str">
        <f>+VLOOKUP(C470,DIM_Mitarbeiter!A:D,4,0)</f>
        <v>VERW</v>
      </c>
      <c r="E470" t="s">
        <v>81</v>
      </c>
      <c r="F470" cm="1">
        <f t="array" ref="F47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70" cm="1">
        <f t="array" ref="G47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471" spans="1:7" x14ac:dyDescent="0.3">
      <c r="A471" s="8">
        <v>44866</v>
      </c>
      <c r="B471" s="20">
        <v>2</v>
      </c>
      <c r="C471" t="s">
        <v>66</v>
      </c>
      <c r="D471" t="str">
        <f>+VLOOKUP(C471,DIM_Mitarbeiter!A:D,4,0)</f>
        <v>VERW</v>
      </c>
      <c r="E471" t="s">
        <v>83</v>
      </c>
      <c r="F471" cm="1">
        <f t="array" ref="F47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71" cm="1">
        <f t="array" ref="G47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72" spans="1:7" x14ac:dyDescent="0.3">
      <c r="A472" s="8">
        <v>44866</v>
      </c>
      <c r="B472" s="20">
        <v>2</v>
      </c>
      <c r="C472" t="s">
        <v>60</v>
      </c>
      <c r="D472" t="str">
        <f>+VLOOKUP(C472,DIM_Mitarbeiter!A:D,4,0)</f>
        <v>VERKAUF</v>
      </c>
      <c r="E472" t="s">
        <v>81</v>
      </c>
      <c r="F472" cm="1">
        <f t="array" ref="F47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72" cm="1">
        <f t="array" ref="G47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73" spans="1:7" x14ac:dyDescent="0.3">
      <c r="A473" s="8">
        <v>44866</v>
      </c>
      <c r="B473" s="20">
        <v>2</v>
      </c>
      <c r="C473" t="s">
        <v>60</v>
      </c>
      <c r="D473" t="str">
        <f>+VLOOKUP(C473,DIM_Mitarbeiter!A:D,4,0)</f>
        <v>VERKAUF</v>
      </c>
      <c r="E473" t="s">
        <v>83</v>
      </c>
      <c r="F473" cm="1">
        <f t="array" ref="F47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73" cm="1">
        <f t="array" ref="G47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74" spans="1:7" x14ac:dyDescent="0.3">
      <c r="A474" s="8">
        <v>44866</v>
      </c>
      <c r="B474" s="20">
        <v>2</v>
      </c>
      <c r="C474" t="s">
        <v>69</v>
      </c>
      <c r="D474" t="str">
        <f>+VLOOKUP(C474,DIM_Mitarbeiter!A:D,4,0)</f>
        <v>VERKAUF</v>
      </c>
      <c r="E474" t="s">
        <v>81</v>
      </c>
      <c r="F474" cm="1">
        <f t="array" ref="F47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74" cm="1">
        <f t="array" ref="G47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475" spans="1:7" x14ac:dyDescent="0.3">
      <c r="A475" s="8">
        <v>44866</v>
      </c>
      <c r="B475" s="20">
        <v>2</v>
      </c>
      <c r="C475" t="s">
        <v>69</v>
      </c>
      <c r="D475" t="str">
        <f>+VLOOKUP(C475,DIM_Mitarbeiter!A:D,4,0)</f>
        <v>VERKAUF</v>
      </c>
      <c r="E475" t="s">
        <v>83</v>
      </c>
      <c r="F475" cm="1">
        <f t="array" ref="F47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75" cm="1">
        <f t="array" ref="G47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76" spans="1:7" x14ac:dyDescent="0.3">
      <c r="A476" s="8">
        <v>44866</v>
      </c>
      <c r="B476" s="20">
        <v>2</v>
      </c>
      <c r="C476" t="s">
        <v>53</v>
      </c>
      <c r="D476" t="str">
        <f>+VLOOKUP(C476,DIM_Mitarbeiter!A:D,4,0)</f>
        <v>PROD</v>
      </c>
      <c r="E476" t="s">
        <v>81</v>
      </c>
      <c r="F476" cm="1">
        <f t="array" ref="F47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76" cm="1">
        <f t="array" ref="G47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477" spans="1:7" x14ac:dyDescent="0.3">
      <c r="A477" s="8">
        <v>44866</v>
      </c>
      <c r="B477" s="20">
        <v>2</v>
      </c>
      <c r="C477" t="s">
        <v>53</v>
      </c>
      <c r="D477" t="str">
        <f>+VLOOKUP(C477,DIM_Mitarbeiter!A:D,4,0)</f>
        <v>PROD</v>
      </c>
      <c r="E477" t="s">
        <v>83</v>
      </c>
      <c r="F477" cm="1">
        <f t="array" ref="F47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77" cm="1">
        <f t="array" ref="G47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78" spans="1:7" x14ac:dyDescent="0.3">
      <c r="A478" s="8">
        <v>44866</v>
      </c>
      <c r="B478" s="20">
        <v>2</v>
      </c>
      <c r="C478" t="s">
        <v>63</v>
      </c>
      <c r="D478" t="str">
        <f>+VLOOKUP(C478,DIM_Mitarbeiter!A:D,4,0)</f>
        <v>VERKAUF</v>
      </c>
      <c r="E478" t="s">
        <v>81</v>
      </c>
      <c r="F478" cm="1">
        <f t="array" ref="F47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78" cm="1">
        <f t="array" ref="G47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479" spans="1:7" x14ac:dyDescent="0.3">
      <c r="A479" s="8">
        <v>44866</v>
      </c>
      <c r="B479" s="20">
        <v>2</v>
      </c>
      <c r="C479" t="s">
        <v>63</v>
      </c>
      <c r="D479" t="str">
        <f>+VLOOKUP(C479,DIM_Mitarbeiter!A:D,4,0)</f>
        <v>VERKAUF</v>
      </c>
      <c r="E479" t="s">
        <v>83</v>
      </c>
      <c r="F479" cm="1">
        <f t="array" ref="F47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79" cm="1">
        <f t="array" ref="G47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480" spans="1:7" x14ac:dyDescent="0.3">
      <c r="A480" s="8">
        <v>44866</v>
      </c>
      <c r="B480" s="20">
        <v>2</v>
      </c>
      <c r="C480" t="s">
        <v>72</v>
      </c>
      <c r="D480" t="str">
        <f>+VLOOKUP(C480,DIM_Mitarbeiter!A:D,4,0)</f>
        <v>PROD</v>
      </c>
      <c r="E480" t="s">
        <v>81</v>
      </c>
      <c r="F480" cm="1">
        <f t="array" ref="F48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80" cm="1">
        <f t="array" ref="G48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81" spans="1:7" x14ac:dyDescent="0.3">
      <c r="A481" s="8">
        <v>44866</v>
      </c>
      <c r="B481" s="20">
        <v>2</v>
      </c>
      <c r="C481" t="s">
        <v>72</v>
      </c>
      <c r="D481" t="str">
        <f>+VLOOKUP(C481,DIM_Mitarbeiter!A:D,4,0)</f>
        <v>PROD</v>
      </c>
      <c r="E481" t="s">
        <v>83</v>
      </c>
      <c r="F481" cm="1">
        <f t="array" ref="F48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81" cm="1">
        <f t="array" ref="G48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482" spans="1:7" x14ac:dyDescent="0.3">
      <c r="A482" s="33">
        <v>44866</v>
      </c>
      <c r="B482" s="20">
        <v>2</v>
      </c>
      <c r="C482" s="25" t="s">
        <v>46</v>
      </c>
      <c r="D482" t="str">
        <f>+VLOOKUP(C482,DIM_Mitarbeiter!A:D,4,0)</f>
        <v>PROD</v>
      </c>
      <c r="E482" s="25" t="s">
        <v>81</v>
      </c>
      <c r="F482" cm="1">
        <f t="array" ref="F48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82" cm="1">
        <f t="array" ref="G48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2</v>
      </c>
    </row>
    <row r="483" spans="1:7" x14ac:dyDescent="0.3">
      <c r="A483" s="33">
        <v>44866</v>
      </c>
      <c r="B483" s="20">
        <v>2</v>
      </c>
      <c r="C483" s="25" t="s">
        <v>46</v>
      </c>
      <c r="D483" t="str">
        <f>+VLOOKUP(C483,DIM_Mitarbeiter!A:D,4,0)</f>
        <v>PROD</v>
      </c>
      <c r="E483" s="25" t="s">
        <v>83</v>
      </c>
      <c r="F483" cm="1">
        <f t="array" ref="F48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83" cm="1">
        <f t="array" ref="G48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84" spans="1:7" x14ac:dyDescent="0.3">
      <c r="A484" s="8">
        <v>44866</v>
      </c>
      <c r="B484" s="20">
        <v>2</v>
      </c>
      <c r="C484" s="25" t="s">
        <v>39</v>
      </c>
      <c r="D484" t="str">
        <f>+VLOOKUP(C484,DIM_Mitarbeiter!A:D,4,0)</f>
        <v>VERW</v>
      </c>
      <c r="E484" s="25" t="s">
        <v>81</v>
      </c>
      <c r="F484" cm="1">
        <f t="array" ref="F48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84" cm="1">
        <f t="array" ref="G48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85" spans="1:7" x14ac:dyDescent="0.3">
      <c r="A485" s="8">
        <v>44866</v>
      </c>
      <c r="B485" s="20">
        <v>2</v>
      </c>
      <c r="C485" s="25" t="s">
        <v>39</v>
      </c>
      <c r="D485" t="str">
        <f>+VLOOKUP(C485,DIM_Mitarbeiter!A:D,4,0)</f>
        <v>VERW</v>
      </c>
      <c r="E485" t="s">
        <v>83</v>
      </c>
      <c r="F485" cm="1">
        <f t="array" ref="F48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485" cm="1">
        <f t="array" ref="G48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86" spans="1:7" x14ac:dyDescent="0.3">
      <c r="A486" s="8">
        <v>44866</v>
      </c>
      <c r="B486" s="20">
        <v>3</v>
      </c>
      <c r="C486" t="s">
        <v>56</v>
      </c>
      <c r="D486" t="str">
        <f>+VLOOKUP(C486,DIM_Mitarbeiter!A:D,4,0)</f>
        <v>VERKAUF</v>
      </c>
      <c r="E486" t="s">
        <v>81</v>
      </c>
      <c r="F486" cm="1">
        <f t="array" ref="F48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486" cm="1">
        <f t="array" ref="G48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2</v>
      </c>
    </row>
    <row r="487" spans="1:7" x14ac:dyDescent="0.3">
      <c r="A487" s="8">
        <v>44866</v>
      </c>
      <c r="B487" s="20">
        <v>3</v>
      </c>
      <c r="C487" t="s">
        <v>56</v>
      </c>
      <c r="D487" t="str">
        <f>+VLOOKUP(C487,DIM_Mitarbeiter!A:D,4,0)</f>
        <v>VERKAUF</v>
      </c>
      <c r="E487" t="s">
        <v>83</v>
      </c>
      <c r="F487" cm="1">
        <f t="array" ref="F48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487" cm="1">
        <f t="array" ref="G48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488" spans="1:7" x14ac:dyDescent="0.3">
      <c r="A488" s="8">
        <v>44866</v>
      </c>
      <c r="B488" s="20">
        <v>3</v>
      </c>
      <c r="C488" s="25" t="s">
        <v>43</v>
      </c>
      <c r="D488" t="str">
        <f>+VLOOKUP(C488,DIM_Mitarbeiter!A:D,4,0)</f>
        <v>VERW</v>
      </c>
      <c r="E488" t="s">
        <v>81</v>
      </c>
      <c r="F488" cm="1">
        <f t="array" ref="F48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488" cm="1">
        <f t="array" ref="G48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489" spans="1:7" x14ac:dyDescent="0.3">
      <c r="A489" s="8">
        <v>44866</v>
      </c>
      <c r="B489" s="20">
        <v>3</v>
      </c>
      <c r="C489" s="25" t="s">
        <v>43</v>
      </c>
      <c r="D489" t="str">
        <f>+VLOOKUP(C489,DIM_Mitarbeiter!A:D,4,0)</f>
        <v>VERW</v>
      </c>
      <c r="E489" t="s">
        <v>83</v>
      </c>
      <c r="F489" cm="1">
        <f t="array" ref="F48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489" cm="1">
        <f t="array" ref="G48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90" spans="1:7" x14ac:dyDescent="0.3">
      <c r="A490" s="8">
        <v>44866</v>
      </c>
      <c r="B490" s="20">
        <v>3</v>
      </c>
      <c r="C490" s="25" t="s">
        <v>50</v>
      </c>
      <c r="D490" t="str">
        <f>+VLOOKUP(C490,DIM_Mitarbeiter!A:D,4,0)</f>
        <v>PROD</v>
      </c>
      <c r="E490" s="25" t="s">
        <v>81</v>
      </c>
      <c r="F490" cm="1">
        <f t="array" ref="F49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490" cm="1">
        <f t="array" ref="G49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491" spans="1:7" x14ac:dyDescent="0.3">
      <c r="A491" s="8">
        <v>44866</v>
      </c>
      <c r="B491" s="20">
        <v>3</v>
      </c>
      <c r="C491" t="s">
        <v>50</v>
      </c>
      <c r="D491" t="str">
        <f>+VLOOKUP(C491,DIM_Mitarbeiter!A:D,4,0)</f>
        <v>PROD</v>
      </c>
      <c r="E491" t="s">
        <v>83</v>
      </c>
      <c r="F491" cm="1">
        <f t="array" ref="F49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491" cm="1">
        <f t="array" ref="G49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492" spans="1:7" x14ac:dyDescent="0.3">
      <c r="A492" s="8">
        <v>44866</v>
      </c>
      <c r="B492" s="20">
        <v>3</v>
      </c>
      <c r="C492" t="s">
        <v>66</v>
      </c>
      <c r="D492" t="str">
        <f>+VLOOKUP(C492,DIM_Mitarbeiter!A:D,4,0)</f>
        <v>VERW</v>
      </c>
      <c r="E492" t="s">
        <v>81</v>
      </c>
      <c r="F492" cm="1">
        <f t="array" ref="F49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492" cm="1">
        <f t="array" ref="G49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493" spans="1:7" x14ac:dyDescent="0.3">
      <c r="A493" s="8">
        <v>44866</v>
      </c>
      <c r="B493" s="20">
        <v>3</v>
      </c>
      <c r="C493" t="s">
        <v>66</v>
      </c>
      <c r="D493" t="str">
        <f>+VLOOKUP(C493,DIM_Mitarbeiter!A:D,4,0)</f>
        <v>VERW</v>
      </c>
      <c r="E493" t="s">
        <v>83</v>
      </c>
      <c r="F493" cm="1">
        <f t="array" ref="F49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493" cm="1">
        <f t="array" ref="G49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94" spans="1:7" x14ac:dyDescent="0.3">
      <c r="A494" s="8">
        <v>44866</v>
      </c>
      <c r="B494" s="20">
        <v>3</v>
      </c>
      <c r="C494" t="s">
        <v>60</v>
      </c>
      <c r="D494" t="str">
        <f>+VLOOKUP(C494,DIM_Mitarbeiter!A:D,4,0)</f>
        <v>VERKAUF</v>
      </c>
      <c r="E494" t="s">
        <v>81</v>
      </c>
      <c r="F494" cm="1">
        <f t="array" ref="F49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494" cm="1">
        <f t="array" ref="G49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95" spans="1:7" x14ac:dyDescent="0.3">
      <c r="A495" s="8">
        <v>44866</v>
      </c>
      <c r="B495" s="20">
        <v>3</v>
      </c>
      <c r="C495" t="s">
        <v>60</v>
      </c>
      <c r="D495" t="str">
        <f>+VLOOKUP(C495,DIM_Mitarbeiter!A:D,4,0)</f>
        <v>VERKAUF</v>
      </c>
      <c r="E495" t="s">
        <v>83</v>
      </c>
      <c r="F495" cm="1">
        <f t="array" ref="F49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495" cm="1">
        <f t="array" ref="G49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96" spans="1:7" x14ac:dyDescent="0.3">
      <c r="A496" s="8">
        <v>44866</v>
      </c>
      <c r="B496" s="20">
        <v>3</v>
      </c>
      <c r="C496" t="s">
        <v>69</v>
      </c>
      <c r="D496" t="str">
        <f>+VLOOKUP(C496,DIM_Mitarbeiter!A:D,4,0)</f>
        <v>VERKAUF</v>
      </c>
      <c r="E496" t="s">
        <v>81</v>
      </c>
      <c r="F496" cm="1">
        <f t="array" ref="F49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496" cm="1">
        <f t="array" ref="G49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497" spans="1:7" x14ac:dyDescent="0.3">
      <c r="A497" s="8">
        <v>44866</v>
      </c>
      <c r="B497" s="20">
        <v>3</v>
      </c>
      <c r="C497" t="s">
        <v>69</v>
      </c>
      <c r="D497" t="str">
        <f>+VLOOKUP(C497,DIM_Mitarbeiter!A:D,4,0)</f>
        <v>VERKAUF</v>
      </c>
      <c r="E497" t="s">
        <v>83</v>
      </c>
      <c r="F497" cm="1">
        <f t="array" ref="F49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497" cm="1">
        <f t="array" ref="G49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98" spans="1:7" x14ac:dyDescent="0.3">
      <c r="A498" s="8">
        <v>44866</v>
      </c>
      <c r="B498" s="20">
        <v>3</v>
      </c>
      <c r="C498" s="25" t="s">
        <v>53</v>
      </c>
      <c r="D498" t="str">
        <f>+VLOOKUP(C498,DIM_Mitarbeiter!A:D,4,0)</f>
        <v>PROD</v>
      </c>
      <c r="E498" s="25" t="s">
        <v>83</v>
      </c>
      <c r="F498" cm="1">
        <f t="array" ref="F49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498" cm="1">
        <f t="array" ref="G49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499" spans="1:7" x14ac:dyDescent="0.3">
      <c r="A499" s="8">
        <v>44866</v>
      </c>
      <c r="B499" s="20">
        <v>3</v>
      </c>
      <c r="C499" t="s">
        <v>53</v>
      </c>
      <c r="D499" t="str">
        <f>+VLOOKUP(C499,DIM_Mitarbeiter!A:D,4,0)</f>
        <v>PROD</v>
      </c>
      <c r="E499" t="s">
        <v>81</v>
      </c>
      <c r="F499" cm="1">
        <f t="array" ref="F49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499" cm="1">
        <f t="array" ref="G49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2</v>
      </c>
    </row>
    <row r="500" spans="1:7" x14ac:dyDescent="0.3">
      <c r="A500" s="8">
        <v>44866</v>
      </c>
      <c r="B500" s="20">
        <v>3</v>
      </c>
      <c r="C500" t="s">
        <v>63</v>
      </c>
      <c r="D500" t="str">
        <f>+VLOOKUP(C500,DIM_Mitarbeiter!A:D,4,0)</f>
        <v>VERKAUF</v>
      </c>
      <c r="E500" t="s">
        <v>81</v>
      </c>
      <c r="F500" cm="1">
        <f t="array" ref="F50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500" cm="1">
        <f t="array" ref="G50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501" spans="1:7" x14ac:dyDescent="0.3">
      <c r="A501" s="8">
        <v>44866</v>
      </c>
      <c r="B501" s="20">
        <v>3</v>
      </c>
      <c r="C501" t="s">
        <v>63</v>
      </c>
      <c r="D501" t="str">
        <f>+VLOOKUP(C501,DIM_Mitarbeiter!A:D,4,0)</f>
        <v>VERKAUF</v>
      </c>
      <c r="E501" t="s">
        <v>83</v>
      </c>
      <c r="F501" cm="1">
        <f t="array" ref="F50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501" cm="1">
        <f t="array" ref="G50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502" spans="1:7" x14ac:dyDescent="0.3">
      <c r="A502" s="8">
        <v>44866</v>
      </c>
      <c r="B502" s="20">
        <v>3</v>
      </c>
      <c r="C502" t="s">
        <v>72</v>
      </c>
      <c r="D502" t="str">
        <f>+VLOOKUP(C502,DIM_Mitarbeiter!A:D,4,0)</f>
        <v>PROD</v>
      </c>
      <c r="E502" t="s">
        <v>81</v>
      </c>
      <c r="F502" cm="1">
        <f t="array" ref="F50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502" cm="1">
        <f t="array" ref="G50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03" spans="1:7" x14ac:dyDescent="0.3">
      <c r="A503" s="8">
        <v>44866</v>
      </c>
      <c r="B503" s="20">
        <v>3</v>
      </c>
      <c r="C503" t="s">
        <v>72</v>
      </c>
      <c r="D503" t="str">
        <f>+VLOOKUP(C503,DIM_Mitarbeiter!A:D,4,0)</f>
        <v>PROD</v>
      </c>
      <c r="E503" t="s">
        <v>83</v>
      </c>
      <c r="F503" cm="1">
        <f t="array" ref="F50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503" cm="1">
        <f t="array" ref="G50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504" spans="1:7" x14ac:dyDescent="0.3">
      <c r="A504" s="33">
        <v>44866</v>
      </c>
      <c r="B504" s="20">
        <v>3</v>
      </c>
      <c r="C504" t="s">
        <v>46</v>
      </c>
      <c r="D504" t="str">
        <f>+VLOOKUP(C504,DIM_Mitarbeiter!A:D,4,0)</f>
        <v>PROD</v>
      </c>
      <c r="E504" t="s">
        <v>81</v>
      </c>
      <c r="F504" cm="1">
        <f t="array" ref="F50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504" cm="1">
        <f t="array" ref="G50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2</v>
      </c>
    </row>
    <row r="505" spans="1:7" x14ac:dyDescent="0.3">
      <c r="A505" s="33">
        <v>44866</v>
      </c>
      <c r="B505" s="20">
        <v>3</v>
      </c>
      <c r="C505" t="s">
        <v>46</v>
      </c>
      <c r="D505" t="str">
        <f>+VLOOKUP(C505,DIM_Mitarbeiter!A:D,4,0)</f>
        <v>PROD</v>
      </c>
      <c r="E505" t="s">
        <v>83</v>
      </c>
      <c r="F505" cm="1">
        <f t="array" ref="F50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505" cm="1">
        <f t="array" ref="G50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06" spans="1:7" x14ac:dyDescent="0.3">
      <c r="A506" s="8">
        <v>44866</v>
      </c>
      <c r="B506" s="20">
        <v>3</v>
      </c>
      <c r="C506" s="25" t="s">
        <v>39</v>
      </c>
      <c r="D506" t="str">
        <f>+VLOOKUP(C506,DIM_Mitarbeiter!A:D,4,0)</f>
        <v>VERW</v>
      </c>
      <c r="E506" s="25" t="s">
        <v>81</v>
      </c>
      <c r="F506" cm="1">
        <f t="array" ref="F50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506" cm="1">
        <f t="array" ref="G50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07" spans="1:7" x14ac:dyDescent="0.3">
      <c r="A507" s="8">
        <v>44866</v>
      </c>
      <c r="B507" s="20">
        <v>3</v>
      </c>
      <c r="C507" s="25" t="s">
        <v>39</v>
      </c>
      <c r="D507" t="str">
        <f>+VLOOKUP(C507,DIM_Mitarbeiter!A:D,4,0)</f>
        <v>VERW</v>
      </c>
      <c r="E507" t="s">
        <v>83</v>
      </c>
      <c r="F507" cm="1">
        <f t="array" ref="F50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507" cm="1">
        <f t="array" ref="G50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08" spans="1:7" x14ac:dyDescent="0.3">
      <c r="A508" s="8">
        <v>44866</v>
      </c>
      <c r="B508" s="20">
        <v>4</v>
      </c>
      <c r="C508" t="s">
        <v>56</v>
      </c>
      <c r="D508" t="str">
        <f>+VLOOKUP(C508,DIM_Mitarbeiter!A:D,4,0)</f>
        <v>VERKAUF</v>
      </c>
      <c r="E508" t="s">
        <v>81</v>
      </c>
      <c r="F508" cm="1">
        <f t="array" ref="F50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08" cm="1">
        <f t="array" ref="G50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509" spans="1:7" x14ac:dyDescent="0.3">
      <c r="A509" s="8">
        <v>44866</v>
      </c>
      <c r="B509" s="20">
        <v>4</v>
      </c>
      <c r="C509" t="s">
        <v>56</v>
      </c>
      <c r="D509" t="str">
        <f>+VLOOKUP(C509,DIM_Mitarbeiter!A:D,4,0)</f>
        <v>VERKAUF</v>
      </c>
      <c r="E509" t="s">
        <v>83</v>
      </c>
      <c r="F509" cm="1">
        <f t="array" ref="F50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09" cm="1">
        <f t="array" ref="G50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10" spans="1:7" x14ac:dyDescent="0.3">
      <c r="A510" s="8">
        <v>44866</v>
      </c>
      <c r="B510" s="20">
        <v>4</v>
      </c>
      <c r="C510" s="25" t="s">
        <v>43</v>
      </c>
      <c r="D510" t="str">
        <f>+VLOOKUP(C510,DIM_Mitarbeiter!A:D,4,0)</f>
        <v>VERW</v>
      </c>
      <c r="E510" s="25" t="s">
        <v>83</v>
      </c>
      <c r="F510" cm="1">
        <f t="array" ref="F51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10" cm="1">
        <f t="array" ref="G51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11" spans="1:7" x14ac:dyDescent="0.3">
      <c r="A511" s="8">
        <v>44866</v>
      </c>
      <c r="B511" s="20">
        <v>4</v>
      </c>
      <c r="C511" s="25" t="s">
        <v>43</v>
      </c>
      <c r="D511" t="str">
        <f>+VLOOKUP(C511,DIM_Mitarbeiter!A:D,4,0)</f>
        <v>VERW</v>
      </c>
      <c r="E511" t="s">
        <v>81</v>
      </c>
      <c r="F511" cm="1">
        <f t="array" ref="F51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11" cm="1">
        <f t="array" ref="G51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12" spans="1:7" x14ac:dyDescent="0.3">
      <c r="A512" s="8">
        <v>44866</v>
      </c>
      <c r="B512" s="20">
        <v>4</v>
      </c>
      <c r="C512" s="25" t="s">
        <v>50</v>
      </c>
      <c r="D512" t="str">
        <f>+VLOOKUP(C512,DIM_Mitarbeiter!A:D,4,0)</f>
        <v>PROD</v>
      </c>
      <c r="E512" s="25" t="s">
        <v>83</v>
      </c>
      <c r="F512" cm="1">
        <f t="array" ref="F51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12" cm="1">
        <f t="array" ref="G51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13" spans="1:7" x14ac:dyDescent="0.3">
      <c r="A513" s="8">
        <v>44866</v>
      </c>
      <c r="B513" s="20">
        <v>4</v>
      </c>
      <c r="C513" t="s">
        <v>50</v>
      </c>
      <c r="D513" t="str">
        <f>+VLOOKUP(C513,DIM_Mitarbeiter!A:D,4,0)</f>
        <v>PROD</v>
      </c>
      <c r="E513" t="s">
        <v>81</v>
      </c>
      <c r="F513" cm="1">
        <f t="array" ref="F51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13" cm="1">
        <f t="array" ref="G51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514" spans="1:7" x14ac:dyDescent="0.3">
      <c r="A514" s="8">
        <v>44866</v>
      </c>
      <c r="B514" s="20">
        <v>4</v>
      </c>
      <c r="C514" t="s">
        <v>66</v>
      </c>
      <c r="D514" t="str">
        <f>+VLOOKUP(C514,DIM_Mitarbeiter!A:D,4,0)</f>
        <v>VERW</v>
      </c>
      <c r="E514" t="s">
        <v>81</v>
      </c>
      <c r="F514" cm="1">
        <f t="array" ref="F51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14" cm="1">
        <f t="array" ref="G51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15" spans="1:7" x14ac:dyDescent="0.3">
      <c r="A515" s="8">
        <v>44866</v>
      </c>
      <c r="B515" s="20">
        <v>4</v>
      </c>
      <c r="C515" t="s">
        <v>66</v>
      </c>
      <c r="D515" t="str">
        <f>+VLOOKUP(C515,DIM_Mitarbeiter!A:D,4,0)</f>
        <v>VERW</v>
      </c>
      <c r="E515" t="s">
        <v>83</v>
      </c>
      <c r="F515" cm="1">
        <f t="array" ref="F51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15" cm="1">
        <f t="array" ref="G51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516" spans="1:7" x14ac:dyDescent="0.3">
      <c r="A516" s="8">
        <v>44866</v>
      </c>
      <c r="B516" s="20">
        <v>4</v>
      </c>
      <c r="C516" t="s">
        <v>60</v>
      </c>
      <c r="D516" t="str">
        <f>+VLOOKUP(C516,DIM_Mitarbeiter!A:D,4,0)</f>
        <v>VERKAUF</v>
      </c>
      <c r="E516" t="s">
        <v>81</v>
      </c>
      <c r="F516" cm="1">
        <f t="array" ref="F51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16" cm="1">
        <f t="array" ref="G51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17" spans="1:7" x14ac:dyDescent="0.3">
      <c r="A517" s="8">
        <v>44866</v>
      </c>
      <c r="B517" s="20">
        <v>4</v>
      </c>
      <c r="C517" t="s">
        <v>60</v>
      </c>
      <c r="D517" t="str">
        <f>+VLOOKUP(C517,DIM_Mitarbeiter!A:D,4,0)</f>
        <v>VERKAUF</v>
      </c>
      <c r="E517" t="s">
        <v>83</v>
      </c>
      <c r="F517" cm="1">
        <f t="array" ref="F51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17" cm="1">
        <f t="array" ref="G51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18" spans="1:7" x14ac:dyDescent="0.3">
      <c r="A518" s="8">
        <v>44866</v>
      </c>
      <c r="B518" s="20">
        <v>4</v>
      </c>
      <c r="C518" t="s">
        <v>69</v>
      </c>
      <c r="D518" t="str">
        <f>+VLOOKUP(C518,DIM_Mitarbeiter!A:D,4,0)</f>
        <v>VERKAUF</v>
      </c>
      <c r="E518" t="s">
        <v>81</v>
      </c>
      <c r="F518" cm="1">
        <f t="array" ref="F51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18" cm="1">
        <f t="array" ref="G51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519" spans="1:7" x14ac:dyDescent="0.3">
      <c r="A519" s="8">
        <v>44866</v>
      </c>
      <c r="B519" s="20">
        <v>4</v>
      </c>
      <c r="C519" t="s">
        <v>69</v>
      </c>
      <c r="D519" t="str">
        <f>+VLOOKUP(C519,DIM_Mitarbeiter!A:D,4,0)</f>
        <v>VERKAUF</v>
      </c>
      <c r="E519" t="s">
        <v>83</v>
      </c>
      <c r="F519" cm="1">
        <f t="array" ref="F51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19" cm="1">
        <f t="array" ref="G51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20" spans="1:7" x14ac:dyDescent="0.3">
      <c r="A520" s="8">
        <v>44866</v>
      </c>
      <c r="B520" s="20">
        <v>4</v>
      </c>
      <c r="C520" s="25" t="s">
        <v>53</v>
      </c>
      <c r="D520" t="str">
        <f>+VLOOKUP(C520,DIM_Mitarbeiter!A:D,4,0)</f>
        <v>PROD</v>
      </c>
      <c r="E520" s="25" t="s">
        <v>83</v>
      </c>
      <c r="F520" cm="1">
        <f t="array" ref="F52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20" cm="1">
        <f t="array" ref="G52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21" spans="1:7" x14ac:dyDescent="0.3">
      <c r="A521" s="8">
        <v>44866</v>
      </c>
      <c r="B521" s="20">
        <v>4</v>
      </c>
      <c r="C521" t="s">
        <v>53</v>
      </c>
      <c r="D521" t="str">
        <f>+VLOOKUP(C521,DIM_Mitarbeiter!A:D,4,0)</f>
        <v>PROD</v>
      </c>
      <c r="E521" t="s">
        <v>81</v>
      </c>
      <c r="F521" cm="1">
        <f t="array" ref="F52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21" cm="1">
        <f t="array" ref="G52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522" spans="1:7" x14ac:dyDescent="0.3">
      <c r="A522" s="8">
        <v>44866</v>
      </c>
      <c r="B522" s="20">
        <v>4</v>
      </c>
      <c r="C522" t="s">
        <v>63</v>
      </c>
      <c r="D522" t="str">
        <f>+VLOOKUP(C522,DIM_Mitarbeiter!A:D,4,0)</f>
        <v>VERKAUF</v>
      </c>
      <c r="E522" t="s">
        <v>81</v>
      </c>
      <c r="F522" cm="1">
        <f t="array" ref="F52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22" cm="1">
        <f t="array" ref="G52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523" spans="1:7" x14ac:dyDescent="0.3">
      <c r="A523" s="8">
        <v>44866</v>
      </c>
      <c r="B523" s="20">
        <v>4</v>
      </c>
      <c r="C523" t="s">
        <v>63</v>
      </c>
      <c r="D523" t="str">
        <f>+VLOOKUP(C523,DIM_Mitarbeiter!A:D,4,0)</f>
        <v>VERKAUF</v>
      </c>
      <c r="E523" t="s">
        <v>83</v>
      </c>
      <c r="F523" cm="1">
        <f t="array" ref="F52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23" cm="1">
        <f t="array" ref="G52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24" spans="1:7" x14ac:dyDescent="0.3">
      <c r="A524" s="8">
        <v>44866</v>
      </c>
      <c r="B524" s="20">
        <v>4</v>
      </c>
      <c r="C524" t="s">
        <v>72</v>
      </c>
      <c r="D524" t="str">
        <f>+VLOOKUP(C524,DIM_Mitarbeiter!A:D,4,0)</f>
        <v>PROD</v>
      </c>
      <c r="E524" t="s">
        <v>81</v>
      </c>
      <c r="F524" cm="1">
        <f t="array" ref="F52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24" cm="1">
        <f t="array" ref="G52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25" spans="1:7" x14ac:dyDescent="0.3">
      <c r="A525" s="8">
        <v>44866</v>
      </c>
      <c r="B525" s="20">
        <v>4</v>
      </c>
      <c r="C525" t="s">
        <v>72</v>
      </c>
      <c r="D525" t="str">
        <f>+VLOOKUP(C525,DIM_Mitarbeiter!A:D,4,0)</f>
        <v>PROD</v>
      </c>
      <c r="E525" t="s">
        <v>83</v>
      </c>
      <c r="F525" cm="1">
        <f t="array" ref="F52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25" cm="1">
        <f t="array" ref="G52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526" spans="1:7" x14ac:dyDescent="0.3">
      <c r="A526" s="33">
        <v>44866</v>
      </c>
      <c r="B526" s="20">
        <v>4</v>
      </c>
      <c r="C526" t="s">
        <v>46</v>
      </c>
      <c r="D526" t="str">
        <f>+VLOOKUP(C526,DIM_Mitarbeiter!A:D,4,0)</f>
        <v>PROD</v>
      </c>
      <c r="E526" t="s">
        <v>81</v>
      </c>
      <c r="F526" cm="1">
        <f t="array" ref="F52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26" cm="1">
        <f t="array" ref="G52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27" spans="1:7" x14ac:dyDescent="0.3">
      <c r="A527" s="33">
        <v>44866</v>
      </c>
      <c r="B527" s="20">
        <v>4</v>
      </c>
      <c r="C527" t="s">
        <v>46</v>
      </c>
      <c r="D527" t="str">
        <f>+VLOOKUP(C527,DIM_Mitarbeiter!A:D,4,0)</f>
        <v>PROD</v>
      </c>
      <c r="E527" t="s">
        <v>83</v>
      </c>
      <c r="F527" cm="1">
        <f t="array" ref="F52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27" cm="1">
        <f t="array" ref="G52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28" spans="1:7" x14ac:dyDescent="0.3">
      <c r="A528" s="8">
        <v>44866</v>
      </c>
      <c r="B528" s="20">
        <v>4</v>
      </c>
      <c r="C528" s="25" t="s">
        <v>39</v>
      </c>
      <c r="D528" t="str">
        <f>+VLOOKUP(C528,DIM_Mitarbeiter!A:D,4,0)</f>
        <v>VERW</v>
      </c>
      <c r="E528" s="25" t="s">
        <v>81</v>
      </c>
      <c r="F528" cm="1">
        <f t="array" ref="F52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28" cm="1">
        <f t="array" ref="G52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29" spans="1:7" x14ac:dyDescent="0.3">
      <c r="A529" s="8">
        <v>44866</v>
      </c>
      <c r="B529" s="20">
        <v>4</v>
      </c>
      <c r="C529" s="25" t="s">
        <v>39</v>
      </c>
      <c r="D529" t="str">
        <f>+VLOOKUP(C529,DIM_Mitarbeiter!A:D,4,0)</f>
        <v>VERW</v>
      </c>
      <c r="E529" t="s">
        <v>83</v>
      </c>
      <c r="F529" cm="1">
        <f t="array" ref="F52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29" cm="1">
        <f t="array" ref="G52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30" spans="1:7" x14ac:dyDescent="0.3">
      <c r="A530" s="8">
        <v>44866</v>
      </c>
      <c r="B530" s="20">
        <v>5</v>
      </c>
      <c r="C530" t="s">
        <v>56</v>
      </c>
      <c r="D530" t="str">
        <f>+VLOOKUP(C530,DIM_Mitarbeiter!A:D,4,0)</f>
        <v>VERKAUF</v>
      </c>
      <c r="E530" t="s">
        <v>81</v>
      </c>
      <c r="F530" cm="1">
        <f t="array" ref="F53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30" cm="1">
        <f t="array" ref="G53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31" spans="1:7" x14ac:dyDescent="0.3">
      <c r="A531" s="8">
        <v>44866</v>
      </c>
      <c r="B531" s="20">
        <v>5</v>
      </c>
      <c r="C531" t="s">
        <v>56</v>
      </c>
      <c r="D531" t="str">
        <f>+VLOOKUP(C531,DIM_Mitarbeiter!A:D,4,0)</f>
        <v>VERKAUF</v>
      </c>
      <c r="E531" t="s">
        <v>83</v>
      </c>
      <c r="F531" cm="1">
        <f t="array" ref="F53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31" cm="1">
        <f t="array" ref="G53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32" spans="1:7" x14ac:dyDescent="0.3">
      <c r="A532" s="8">
        <v>44866</v>
      </c>
      <c r="B532" s="20">
        <v>5</v>
      </c>
      <c r="C532" s="25" t="s">
        <v>43</v>
      </c>
      <c r="D532" t="str">
        <f>+VLOOKUP(C532,DIM_Mitarbeiter!A:D,4,0)</f>
        <v>VERW</v>
      </c>
      <c r="E532" s="25" t="s">
        <v>83</v>
      </c>
      <c r="F532" cm="1">
        <f t="array" ref="F53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32" cm="1">
        <f t="array" ref="G53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33" spans="1:7" x14ac:dyDescent="0.3">
      <c r="A533" s="8">
        <v>44866</v>
      </c>
      <c r="B533" s="20">
        <v>5</v>
      </c>
      <c r="C533" s="25" t="s">
        <v>43</v>
      </c>
      <c r="D533" t="str">
        <f>+VLOOKUP(C533,DIM_Mitarbeiter!A:D,4,0)</f>
        <v>VERW</v>
      </c>
      <c r="E533" t="s">
        <v>81</v>
      </c>
      <c r="F533" cm="1">
        <f t="array" ref="F53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33" cm="1">
        <f t="array" ref="G53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34" spans="1:7" x14ac:dyDescent="0.3">
      <c r="A534" s="8">
        <v>44866</v>
      </c>
      <c r="B534" s="20">
        <v>5</v>
      </c>
      <c r="C534" t="s">
        <v>50</v>
      </c>
      <c r="D534" t="str">
        <f>+VLOOKUP(C534,DIM_Mitarbeiter!A:D,4,0)</f>
        <v>PROD</v>
      </c>
      <c r="E534" t="s">
        <v>81</v>
      </c>
      <c r="F534" cm="1">
        <f t="array" ref="F53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34" cm="1">
        <f t="array" ref="G53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35" spans="1:7" x14ac:dyDescent="0.3">
      <c r="A535" s="8">
        <v>44866</v>
      </c>
      <c r="B535" s="20">
        <v>5</v>
      </c>
      <c r="C535" t="s">
        <v>50</v>
      </c>
      <c r="D535" t="str">
        <f>+VLOOKUP(C535,DIM_Mitarbeiter!A:D,4,0)</f>
        <v>PROD</v>
      </c>
      <c r="E535" t="s">
        <v>83</v>
      </c>
      <c r="F535" cm="1">
        <f t="array" ref="F53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35" cm="1">
        <f t="array" ref="G53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36" spans="1:7" x14ac:dyDescent="0.3">
      <c r="A536" s="8">
        <v>44866</v>
      </c>
      <c r="B536" s="20">
        <v>5</v>
      </c>
      <c r="C536" t="s">
        <v>66</v>
      </c>
      <c r="D536" t="str">
        <f>+VLOOKUP(C536,DIM_Mitarbeiter!A:D,4,0)</f>
        <v>VERW</v>
      </c>
      <c r="E536" t="s">
        <v>81</v>
      </c>
      <c r="F536" cm="1">
        <f t="array" ref="F53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36" cm="1">
        <f t="array" ref="G53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37" spans="1:7" x14ac:dyDescent="0.3">
      <c r="A537" s="8">
        <v>44866</v>
      </c>
      <c r="B537" s="20">
        <v>5</v>
      </c>
      <c r="C537" t="s">
        <v>66</v>
      </c>
      <c r="D537" t="str">
        <f>+VLOOKUP(C537,DIM_Mitarbeiter!A:D,4,0)</f>
        <v>VERW</v>
      </c>
      <c r="E537" t="s">
        <v>83</v>
      </c>
      <c r="F537" cm="1">
        <f t="array" ref="F53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37" cm="1">
        <f t="array" ref="G53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538" spans="1:7" x14ac:dyDescent="0.3">
      <c r="A538" s="8">
        <v>44866</v>
      </c>
      <c r="B538" s="20">
        <v>5</v>
      </c>
      <c r="C538" t="s">
        <v>60</v>
      </c>
      <c r="D538" t="str">
        <f>+VLOOKUP(C538,DIM_Mitarbeiter!A:D,4,0)</f>
        <v>VERKAUF</v>
      </c>
      <c r="E538" t="s">
        <v>81</v>
      </c>
      <c r="F538" cm="1">
        <f t="array" ref="F53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38" cm="1">
        <f t="array" ref="G53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39" spans="1:7" x14ac:dyDescent="0.3">
      <c r="A539" s="8">
        <v>44866</v>
      </c>
      <c r="B539" s="20">
        <v>5</v>
      </c>
      <c r="C539" t="s">
        <v>60</v>
      </c>
      <c r="D539" t="str">
        <f>+VLOOKUP(C539,DIM_Mitarbeiter!A:D,4,0)</f>
        <v>VERKAUF</v>
      </c>
      <c r="E539" t="s">
        <v>83</v>
      </c>
      <c r="F539" cm="1">
        <f t="array" ref="F53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39" cm="1">
        <f t="array" ref="G53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40" spans="1:7" x14ac:dyDescent="0.3">
      <c r="A540" s="8">
        <v>44866</v>
      </c>
      <c r="B540" s="20">
        <v>5</v>
      </c>
      <c r="C540" t="s">
        <v>69</v>
      </c>
      <c r="D540" t="str">
        <f>+VLOOKUP(C540,DIM_Mitarbeiter!A:D,4,0)</f>
        <v>VERKAUF</v>
      </c>
      <c r="E540" t="s">
        <v>81</v>
      </c>
      <c r="F540" cm="1">
        <f t="array" ref="F54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40" cm="1">
        <f t="array" ref="G54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41" spans="1:7" x14ac:dyDescent="0.3">
      <c r="A541" s="8">
        <v>44866</v>
      </c>
      <c r="B541" s="20">
        <v>5</v>
      </c>
      <c r="C541" t="s">
        <v>69</v>
      </c>
      <c r="D541" t="str">
        <f>+VLOOKUP(C541,DIM_Mitarbeiter!A:D,4,0)</f>
        <v>VERKAUF</v>
      </c>
      <c r="E541" t="s">
        <v>83</v>
      </c>
      <c r="F541" cm="1">
        <f t="array" ref="F54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41" cm="1">
        <f t="array" ref="G54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42" spans="1:7" x14ac:dyDescent="0.3">
      <c r="A542" s="8">
        <v>44866</v>
      </c>
      <c r="B542" s="20">
        <v>5</v>
      </c>
      <c r="C542" s="25" t="s">
        <v>53</v>
      </c>
      <c r="D542" t="str">
        <f>+VLOOKUP(C542,DIM_Mitarbeiter!A:D,4,0)</f>
        <v>PROD</v>
      </c>
      <c r="E542" s="25" t="s">
        <v>81</v>
      </c>
      <c r="F542" cm="1">
        <f t="array" ref="F54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42" cm="1">
        <f t="array" ref="G54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543" spans="1:7" x14ac:dyDescent="0.3">
      <c r="A543" s="8">
        <v>44866</v>
      </c>
      <c r="B543" s="20">
        <v>5</v>
      </c>
      <c r="C543" s="25" t="s">
        <v>53</v>
      </c>
      <c r="D543" t="str">
        <f>+VLOOKUP(C543,DIM_Mitarbeiter!A:D,4,0)</f>
        <v>PROD</v>
      </c>
      <c r="E543" s="25" t="s">
        <v>83</v>
      </c>
      <c r="F543" cm="1">
        <f t="array" ref="F54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43" cm="1">
        <f t="array" ref="G54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44" spans="1:7" x14ac:dyDescent="0.3">
      <c r="A544" s="8">
        <v>44866</v>
      </c>
      <c r="B544" s="20">
        <v>5</v>
      </c>
      <c r="C544" t="s">
        <v>63</v>
      </c>
      <c r="D544" t="str">
        <f>+VLOOKUP(C544,DIM_Mitarbeiter!A:D,4,0)</f>
        <v>VERKAUF</v>
      </c>
      <c r="E544" t="s">
        <v>81</v>
      </c>
      <c r="F544" cm="1">
        <f t="array" ref="F54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44" cm="1">
        <f t="array" ref="G54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2</v>
      </c>
    </row>
    <row r="545" spans="1:7" x14ac:dyDescent="0.3">
      <c r="A545" s="8">
        <v>44866</v>
      </c>
      <c r="B545" s="20">
        <v>5</v>
      </c>
      <c r="C545" t="s">
        <v>63</v>
      </c>
      <c r="D545" t="str">
        <f>+VLOOKUP(C545,DIM_Mitarbeiter!A:D,4,0)</f>
        <v>VERKAUF</v>
      </c>
      <c r="E545" t="s">
        <v>83</v>
      </c>
      <c r="F545" cm="1">
        <f t="array" ref="F54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45" cm="1">
        <f t="array" ref="G54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46" spans="1:7" x14ac:dyDescent="0.3">
      <c r="A546" s="8">
        <v>44866</v>
      </c>
      <c r="B546" s="20">
        <v>5</v>
      </c>
      <c r="C546" t="s">
        <v>72</v>
      </c>
      <c r="D546" t="str">
        <f>+VLOOKUP(C546,DIM_Mitarbeiter!A:D,4,0)</f>
        <v>PROD</v>
      </c>
      <c r="E546" t="s">
        <v>81</v>
      </c>
      <c r="F546" cm="1">
        <f t="array" ref="F54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46" cm="1">
        <f t="array" ref="G54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47" spans="1:7" x14ac:dyDescent="0.3">
      <c r="A547" s="8">
        <v>44866</v>
      </c>
      <c r="B547" s="20">
        <v>5</v>
      </c>
      <c r="C547" t="s">
        <v>72</v>
      </c>
      <c r="D547" t="str">
        <f>+VLOOKUP(C547,DIM_Mitarbeiter!A:D,4,0)</f>
        <v>PROD</v>
      </c>
      <c r="E547" t="s">
        <v>83</v>
      </c>
      <c r="F547" cm="1">
        <f t="array" ref="F54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47" cm="1">
        <f t="array" ref="G54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548" spans="1:7" x14ac:dyDescent="0.3">
      <c r="A548" s="33">
        <v>44866</v>
      </c>
      <c r="B548" s="20">
        <v>5</v>
      </c>
      <c r="C548" s="25" t="s">
        <v>46</v>
      </c>
      <c r="D548" t="str">
        <f>+VLOOKUP(C548,DIM_Mitarbeiter!A:D,4,0)</f>
        <v>PROD</v>
      </c>
      <c r="E548" s="25" t="s">
        <v>81</v>
      </c>
      <c r="F548" cm="1">
        <f t="array" ref="F54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48" cm="1">
        <f t="array" ref="G54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49" spans="1:7" x14ac:dyDescent="0.3">
      <c r="A549" s="33">
        <v>44866</v>
      </c>
      <c r="B549" s="20">
        <v>5</v>
      </c>
      <c r="C549" t="s">
        <v>46</v>
      </c>
      <c r="D549" t="str">
        <f>+VLOOKUP(C549,DIM_Mitarbeiter!A:D,4,0)</f>
        <v>PROD</v>
      </c>
      <c r="E549" t="s">
        <v>83</v>
      </c>
      <c r="F549" cm="1">
        <f t="array" ref="F54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49" cm="1">
        <f t="array" ref="G54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50" spans="1:7" x14ac:dyDescent="0.3">
      <c r="A550" s="8">
        <v>44866</v>
      </c>
      <c r="B550" s="20">
        <v>5</v>
      </c>
      <c r="C550" s="25" t="s">
        <v>39</v>
      </c>
      <c r="D550" t="str">
        <f>+VLOOKUP(C550,DIM_Mitarbeiter!A:D,4,0)</f>
        <v>VERW</v>
      </c>
      <c r="E550" s="25" t="s">
        <v>83</v>
      </c>
      <c r="F550" cm="1">
        <f t="array" ref="F55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50" cm="1">
        <f t="array" ref="G55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51" spans="1:7" x14ac:dyDescent="0.3">
      <c r="A551" s="8">
        <v>44866</v>
      </c>
      <c r="B551" s="20">
        <v>5</v>
      </c>
      <c r="C551" s="25" t="s">
        <v>39</v>
      </c>
      <c r="D551" t="str">
        <f>+VLOOKUP(C551,DIM_Mitarbeiter!A:D,4,0)</f>
        <v>VERW</v>
      </c>
      <c r="E551" t="s">
        <v>81</v>
      </c>
      <c r="F551" cm="1">
        <f t="array" ref="F55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51" cm="1">
        <f t="array" ref="G55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52" spans="1:7" x14ac:dyDescent="0.3">
      <c r="A552" s="8">
        <v>44896</v>
      </c>
      <c r="B552" s="20">
        <v>1</v>
      </c>
      <c r="C552" t="s">
        <v>56</v>
      </c>
      <c r="D552" t="str">
        <f>+VLOOKUP(C552,DIM_Mitarbeiter!A:D,4,0)</f>
        <v>VERKAUF</v>
      </c>
      <c r="E552" t="s">
        <v>81</v>
      </c>
      <c r="F552" cm="1">
        <f t="array" ref="F55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3</v>
      </c>
      <c r="G552" cm="1">
        <f t="array" ref="G55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53" spans="1:7" x14ac:dyDescent="0.3">
      <c r="A553" s="8">
        <v>44896</v>
      </c>
      <c r="B553" s="20">
        <v>1</v>
      </c>
      <c r="C553" t="s">
        <v>56</v>
      </c>
      <c r="D553" t="str">
        <f>+VLOOKUP(C553,DIM_Mitarbeiter!A:D,4,0)</f>
        <v>VERKAUF</v>
      </c>
      <c r="E553" t="s">
        <v>83</v>
      </c>
      <c r="F553" cm="1">
        <f t="array" ref="F55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3</v>
      </c>
      <c r="G553" cm="1">
        <f t="array" ref="G55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2</v>
      </c>
    </row>
    <row r="554" spans="1:7" x14ac:dyDescent="0.3">
      <c r="A554" s="8">
        <v>44896</v>
      </c>
      <c r="B554" s="20">
        <v>1</v>
      </c>
      <c r="C554" s="25" t="s">
        <v>43</v>
      </c>
      <c r="D554" t="str">
        <f>+VLOOKUP(C554,DIM_Mitarbeiter!A:D,4,0)</f>
        <v>VERW</v>
      </c>
      <c r="E554" s="25" t="s">
        <v>81</v>
      </c>
      <c r="F554" cm="1">
        <f t="array" ref="F55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3</v>
      </c>
      <c r="G554" cm="1">
        <f t="array" ref="G55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55" spans="1:7" x14ac:dyDescent="0.3">
      <c r="A555" s="8">
        <v>44896</v>
      </c>
      <c r="B555" s="20">
        <v>1</v>
      </c>
      <c r="C555" s="25" t="s">
        <v>43</v>
      </c>
      <c r="D555" t="str">
        <f>+VLOOKUP(C555,DIM_Mitarbeiter!A:D,4,0)</f>
        <v>VERW</v>
      </c>
      <c r="E555" t="s">
        <v>83</v>
      </c>
      <c r="F555" cm="1">
        <f t="array" ref="F55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3</v>
      </c>
      <c r="G555" cm="1">
        <f t="array" ref="G55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56" spans="1:7" x14ac:dyDescent="0.3">
      <c r="A556" s="8">
        <v>44896</v>
      </c>
      <c r="B556" s="20">
        <v>1</v>
      </c>
      <c r="C556" t="s">
        <v>50</v>
      </c>
      <c r="D556" t="str">
        <f>+VLOOKUP(C556,DIM_Mitarbeiter!A:D,4,0)</f>
        <v>PROD</v>
      </c>
      <c r="E556" t="s">
        <v>81</v>
      </c>
      <c r="F556" cm="1">
        <f t="array" ref="F55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3</v>
      </c>
      <c r="G556" cm="1">
        <f t="array" ref="G55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57" spans="1:7" x14ac:dyDescent="0.3">
      <c r="A557" s="8">
        <v>44896</v>
      </c>
      <c r="B557" s="20">
        <v>1</v>
      </c>
      <c r="C557" t="s">
        <v>50</v>
      </c>
      <c r="D557" t="str">
        <f>+VLOOKUP(C557,DIM_Mitarbeiter!A:D,4,0)</f>
        <v>PROD</v>
      </c>
      <c r="E557" t="s">
        <v>83</v>
      </c>
      <c r="F557" cm="1">
        <f t="array" ref="F55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3</v>
      </c>
      <c r="G557" cm="1">
        <f t="array" ref="G55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58" spans="1:7" x14ac:dyDescent="0.3">
      <c r="A558" s="8">
        <v>44896</v>
      </c>
      <c r="B558" s="20">
        <v>1</v>
      </c>
      <c r="C558" t="s">
        <v>66</v>
      </c>
      <c r="D558" t="str">
        <f>+VLOOKUP(C558,DIM_Mitarbeiter!A:D,4,0)</f>
        <v>VERW</v>
      </c>
      <c r="E558" t="s">
        <v>81</v>
      </c>
      <c r="F558" cm="1">
        <f t="array" ref="F55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3</v>
      </c>
      <c r="G558" cm="1">
        <f t="array" ref="G55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559" spans="1:7" x14ac:dyDescent="0.3">
      <c r="A559" s="8">
        <v>44896</v>
      </c>
      <c r="B559" s="20">
        <v>1</v>
      </c>
      <c r="C559" t="s">
        <v>66</v>
      </c>
      <c r="D559" t="str">
        <f>+VLOOKUP(C559,DIM_Mitarbeiter!A:D,4,0)</f>
        <v>VERW</v>
      </c>
      <c r="E559" t="s">
        <v>83</v>
      </c>
      <c r="F559" cm="1">
        <f t="array" ref="F55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3</v>
      </c>
      <c r="G559" cm="1">
        <f t="array" ref="G55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60" spans="1:7" x14ac:dyDescent="0.3">
      <c r="A560" s="8">
        <v>44896</v>
      </c>
      <c r="B560" s="20">
        <v>1</v>
      </c>
      <c r="C560" t="s">
        <v>60</v>
      </c>
      <c r="D560" t="str">
        <f>+VLOOKUP(C560,DIM_Mitarbeiter!A:D,4,0)</f>
        <v>VERKAUF</v>
      </c>
      <c r="E560" t="s">
        <v>81</v>
      </c>
      <c r="F560" cm="1">
        <f t="array" ref="F56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3</v>
      </c>
      <c r="G560" cm="1">
        <f t="array" ref="G56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61" spans="1:7" x14ac:dyDescent="0.3">
      <c r="A561" s="8">
        <v>44896</v>
      </c>
      <c r="B561" s="20">
        <v>1</v>
      </c>
      <c r="C561" t="s">
        <v>60</v>
      </c>
      <c r="D561" t="str">
        <f>+VLOOKUP(C561,DIM_Mitarbeiter!A:D,4,0)</f>
        <v>VERKAUF</v>
      </c>
      <c r="E561" t="s">
        <v>83</v>
      </c>
      <c r="F561" cm="1">
        <f t="array" ref="F56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3</v>
      </c>
      <c r="G561" cm="1">
        <f t="array" ref="G56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62" spans="1:7" x14ac:dyDescent="0.3">
      <c r="A562" s="8">
        <v>44896</v>
      </c>
      <c r="B562" s="20">
        <v>1</v>
      </c>
      <c r="C562" t="s">
        <v>69</v>
      </c>
      <c r="D562" t="str">
        <f>+VLOOKUP(C562,DIM_Mitarbeiter!A:D,4,0)</f>
        <v>VERKAUF</v>
      </c>
      <c r="E562" t="s">
        <v>81</v>
      </c>
      <c r="F562" cm="1">
        <f t="array" ref="F56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3</v>
      </c>
      <c r="G562" cm="1">
        <f t="array" ref="G56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63" spans="1:7" x14ac:dyDescent="0.3">
      <c r="A563" s="8">
        <v>44896</v>
      </c>
      <c r="B563" s="20">
        <v>1</v>
      </c>
      <c r="C563" t="s">
        <v>69</v>
      </c>
      <c r="D563" t="str">
        <f>+VLOOKUP(C563,DIM_Mitarbeiter!A:D,4,0)</f>
        <v>VERKAUF</v>
      </c>
      <c r="E563" t="s">
        <v>83</v>
      </c>
      <c r="F563" cm="1">
        <f t="array" ref="F56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3</v>
      </c>
      <c r="G563" cm="1">
        <f t="array" ref="G56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564" spans="1:7" x14ac:dyDescent="0.3">
      <c r="A564" s="8">
        <v>44896</v>
      </c>
      <c r="B564" s="20">
        <v>1</v>
      </c>
      <c r="C564" s="25" t="s">
        <v>53</v>
      </c>
      <c r="D564" t="str">
        <f>+VLOOKUP(C564,DIM_Mitarbeiter!A:D,4,0)</f>
        <v>PROD</v>
      </c>
      <c r="E564" s="25" t="s">
        <v>83</v>
      </c>
      <c r="F564" cm="1">
        <f t="array" ref="F56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3</v>
      </c>
      <c r="G564" cm="1">
        <f t="array" ref="G56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65" spans="1:7" x14ac:dyDescent="0.3">
      <c r="A565" s="8">
        <v>44896</v>
      </c>
      <c r="B565" s="20">
        <v>1</v>
      </c>
      <c r="C565" t="s">
        <v>53</v>
      </c>
      <c r="D565" t="str">
        <f>+VLOOKUP(C565,DIM_Mitarbeiter!A:D,4,0)</f>
        <v>PROD</v>
      </c>
      <c r="E565" t="s">
        <v>81</v>
      </c>
      <c r="F565" cm="1">
        <f t="array" ref="F56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3</v>
      </c>
      <c r="G565" cm="1">
        <f t="array" ref="G56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66" spans="1:7" x14ac:dyDescent="0.3">
      <c r="A566" s="8">
        <v>44896</v>
      </c>
      <c r="B566" s="20">
        <v>1</v>
      </c>
      <c r="C566" t="s">
        <v>63</v>
      </c>
      <c r="D566" t="str">
        <f>+VLOOKUP(C566,DIM_Mitarbeiter!A:D,4,0)</f>
        <v>VERKAUF</v>
      </c>
      <c r="E566" t="s">
        <v>81</v>
      </c>
      <c r="F566" cm="1">
        <f t="array" ref="F56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3</v>
      </c>
      <c r="G566" cm="1">
        <f t="array" ref="G56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67" spans="1:7" x14ac:dyDescent="0.3">
      <c r="A567" s="8">
        <v>44896</v>
      </c>
      <c r="B567" s="20">
        <v>1</v>
      </c>
      <c r="C567" t="s">
        <v>63</v>
      </c>
      <c r="D567" t="str">
        <f>+VLOOKUP(C567,DIM_Mitarbeiter!A:D,4,0)</f>
        <v>VERKAUF</v>
      </c>
      <c r="E567" t="s">
        <v>83</v>
      </c>
      <c r="F567" cm="1">
        <f t="array" ref="F56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3</v>
      </c>
      <c r="G567" cm="1">
        <f t="array" ref="G56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568" spans="1:7" x14ac:dyDescent="0.3">
      <c r="A568" s="8">
        <v>44896</v>
      </c>
      <c r="B568" s="20">
        <v>1</v>
      </c>
      <c r="C568" t="s">
        <v>72</v>
      </c>
      <c r="D568" t="str">
        <f>+VLOOKUP(C568,DIM_Mitarbeiter!A:D,4,0)</f>
        <v>PROD</v>
      </c>
      <c r="E568" t="s">
        <v>81</v>
      </c>
      <c r="F568" cm="1">
        <f t="array" ref="F56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3</v>
      </c>
      <c r="G568" cm="1">
        <f t="array" ref="G56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569" spans="1:7" x14ac:dyDescent="0.3">
      <c r="A569" s="8">
        <v>44896</v>
      </c>
      <c r="B569" s="20">
        <v>1</v>
      </c>
      <c r="C569" t="s">
        <v>72</v>
      </c>
      <c r="D569" t="str">
        <f>+VLOOKUP(C569,DIM_Mitarbeiter!A:D,4,0)</f>
        <v>PROD</v>
      </c>
      <c r="E569" t="s">
        <v>83</v>
      </c>
      <c r="F569" cm="1">
        <f t="array" ref="F56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3</v>
      </c>
      <c r="G569" cm="1">
        <f t="array" ref="G56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70" spans="1:7" x14ac:dyDescent="0.3">
      <c r="A570" s="33">
        <v>44896</v>
      </c>
      <c r="B570" s="20">
        <v>1</v>
      </c>
      <c r="C570" s="25" t="s">
        <v>46</v>
      </c>
      <c r="D570" t="str">
        <f>+VLOOKUP(C570,DIM_Mitarbeiter!A:D,4,0)</f>
        <v>PROD</v>
      </c>
      <c r="E570" s="25" t="s">
        <v>83</v>
      </c>
      <c r="F570" cm="1">
        <f t="array" ref="F57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3</v>
      </c>
      <c r="G570" cm="1">
        <f t="array" ref="G57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71" spans="1:7" x14ac:dyDescent="0.3">
      <c r="A571" s="33">
        <v>44896</v>
      </c>
      <c r="B571" s="20">
        <v>1</v>
      </c>
      <c r="C571" t="s">
        <v>46</v>
      </c>
      <c r="D571" t="str">
        <f>+VLOOKUP(C571,DIM_Mitarbeiter!A:D,4,0)</f>
        <v>PROD</v>
      </c>
      <c r="E571" t="s">
        <v>81</v>
      </c>
      <c r="F571" cm="1">
        <f t="array" ref="F57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3</v>
      </c>
      <c r="G571" cm="1">
        <f t="array" ref="G57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72" spans="1:7" x14ac:dyDescent="0.3">
      <c r="A572" s="8">
        <v>44896</v>
      </c>
      <c r="B572" s="20">
        <v>1</v>
      </c>
      <c r="C572" s="25" t="s">
        <v>39</v>
      </c>
      <c r="D572" t="str">
        <f>+VLOOKUP(C572,DIM_Mitarbeiter!A:D,4,0)</f>
        <v>VERW</v>
      </c>
      <c r="E572" t="s">
        <v>81</v>
      </c>
      <c r="F572" cm="1">
        <f t="array" ref="F57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3</v>
      </c>
      <c r="G572" cm="1">
        <f t="array" ref="G57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73" spans="1:7" x14ac:dyDescent="0.3">
      <c r="A573" s="8">
        <v>44896</v>
      </c>
      <c r="B573" s="20">
        <v>1</v>
      </c>
      <c r="C573" s="25" t="s">
        <v>39</v>
      </c>
      <c r="D573" t="str">
        <f>+VLOOKUP(C573,DIM_Mitarbeiter!A:D,4,0)</f>
        <v>VERW</v>
      </c>
      <c r="E573" t="s">
        <v>83</v>
      </c>
      <c r="F573" cm="1">
        <f t="array" ref="F57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3</v>
      </c>
      <c r="G573" cm="1">
        <f t="array" ref="G57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574" spans="1:7" x14ac:dyDescent="0.3">
      <c r="A574" s="8">
        <v>44896</v>
      </c>
      <c r="B574" s="20">
        <v>2</v>
      </c>
      <c r="C574" t="s">
        <v>56</v>
      </c>
      <c r="D574" t="str">
        <f>+VLOOKUP(C574,DIM_Mitarbeiter!A:D,4,0)</f>
        <v>VERKAUF</v>
      </c>
      <c r="E574" t="s">
        <v>81</v>
      </c>
      <c r="F574" cm="1">
        <f t="array" ref="F57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74" cm="1">
        <f t="array" ref="G57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75" spans="1:7" x14ac:dyDescent="0.3">
      <c r="A575" s="8">
        <v>44896</v>
      </c>
      <c r="B575" s="20">
        <v>2</v>
      </c>
      <c r="C575" t="s">
        <v>56</v>
      </c>
      <c r="D575" t="str">
        <f>+VLOOKUP(C575,DIM_Mitarbeiter!A:D,4,0)</f>
        <v>VERKAUF</v>
      </c>
      <c r="E575" t="s">
        <v>83</v>
      </c>
      <c r="F575" cm="1">
        <f t="array" ref="F57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75" cm="1">
        <f t="array" ref="G57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3</v>
      </c>
    </row>
    <row r="576" spans="1:7" x14ac:dyDescent="0.3">
      <c r="A576" s="8">
        <v>44896</v>
      </c>
      <c r="B576" s="20">
        <v>2</v>
      </c>
      <c r="C576" s="25" t="s">
        <v>43</v>
      </c>
      <c r="D576" t="str">
        <f>+VLOOKUP(C576,DIM_Mitarbeiter!A:D,4,0)</f>
        <v>VERW</v>
      </c>
      <c r="E576" s="25" t="s">
        <v>83</v>
      </c>
      <c r="F576" cm="1">
        <f t="array" ref="F57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76" cm="1">
        <f t="array" ref="G57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77" spans="1:7" x14ac:dyDescent="0.3">
      <c r="A577" s="8">
        <v>44896</v>
      </c>
      <c r="B577" s="20">
        <v>2</v>
      </c>
      <c r="C577" s="25" t="s">
        <v>43</v>
      </c>
      <c r="D577" t="str">
        <f>+VLOOKUP(C577,DIM_Mitarbeiter!A:D,4,0)</f>
        <v>VERW</v>
      </c>
      <c r="E577" t="s">
        <v>81</v>
      </c>
      <c r="F577" cm="1">
        <f t="array" ref="F57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77" cm="1">
        <f t="array" ref="G57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78" spans="1:7" x14ac:dyDescent="0.3">
      <c r="A578" s="8">
        <v>44896</v>
      </c>
      <c r="B578" s="20">
        <v>2</v>
      </c>
      <c r="C578" s="25" t="s">
        <v>50</v>
      </c>
      <c r="D578" t="str">
        <f>+VLOOKUP(C578,DIM_Mitarbeiter!A:D,4,0)</f>
        <v>PROD</v>
      </c>
      <c r="E578" s="25" t="s">
        <v>81</v>
      </c>
      <c r="F578" cm="1">
        <f t="array" ref="F57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78" cm="1">
        <f t="array" ref="G57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2</v>
      </c>
    </row>
    <row r="579" spans="1:7" x14ac:dyDescent="0.3">
      <c r="A579" s="8">
        <v>44896</v>
      </c>
      <c r="B579" s="20">
        <v>2</v>
      </c>
      <c r="C579" t="s">
        <v>50</v>
      </c>
      <c r="D579" t="str">
        <f>+VLOOKUP(C579,DIM_Mitarbeiter!A:D,4,0)</f>
        <v>PROD</v>
      </c>
      <c r="E579" t="s">
        <v>83</v>
      </c>
      <c r="F579" cm="1">
        <f t="array" ref="F57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79" cm="1">
        <f t="array" ref="G57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80" spans="1:7" x14ac:dyDescent="0.3">
      <c r="A580" s="8">
        <v>44896</v>
      </c>
      <c r="B580" s="20">
        <v>2</v>
      </c>
      <c r="C580" t="s">
        <v>66</v>
      </c>
      <c r="D580" t="str">
        <f>+VLOOKUP(C580,DIM_Mitarbeiter!A:D,4,0)</f>
        <v>VERW</v>
      </c>
      <c r="E580" t="s">
        <v>81</v>
      </c>
      <c r="F580" cm="1">
        <f t="array" ref="F58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80" cm="1">
        <f t="array" ref="G58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581" spans="1:7" x14ac:dyDescent="0.3">
      <c r="A581" s="8">
        <v>44896</v>
      </c>
      <c r="B581" s="20">
        <v>2</v>
      </c>
      <c r="C581" t="s">
        <v>66</v>
      </c>
      <c r="D581" t="str">
        <f>+VLOOKUP(C581,DIM_Mitarbeiter!A:D,4,0)</f>
        <v>VERW</v>
      </c>
      <c r="E581" t="s">
        <v>83</v>
      </c>
      <c r="F581" cm="1">
        <f t="array" ref="F58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81" cm="1">
        <f t="array" ref="G58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582" spans="1:7" x14ac:dyDescent="0.3">
      <c r="A582" s="8">
        <v>44896</v>
      </c>
      <c r="B582" s="20">
        <v>2</v>
      </c>
      <c r="C582" t="s">
        <v>60</v>
      </c>
      <c r="D582" t="str">
        <f>+VLOOKUP(C582,DIM_Mitarbeiter!A:D,4,0)</f>
        <v>VERKAUF</v>
      </c>
      <c r="E582" t="s">
        <v>81</v>
      </c>
      <c r="F582" cm="1">
        <f t="array" ref="F58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82" cm="1">
        <f t="array" ref="G58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2</v>
      </c>
    </row>
    <row r="583" spans="1:7" x14ac:dyDescent="0.3">
      <c r="A583" s="8">
        <v>44896</v>
      </c>
      <c r="B583" s="20">
        <v>2</v>
      </c>
      <c r="C583" t="s">
        <v>60</v>
      </c>
      <c r="D583" t="str">
        <f>+VLOOKUP(C583,DIM_Mitarbeiter!A:D,4,0)</f>
        <v>VERKAUF</v>
      </c>
      <c r="E583" t="s">
        <v>83</v>
      </c>
      <c r="F583" cm="1">
        <f t="array" ref="F58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83" cm="1">
        <f t="array" ref="G58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84" spans="1:7" x14ac:dyDescent="0.3">
      <c r="A584" s="8">
        <v>44896</v>
      </c>
      <c r="B584" s="20">
        <v>2</v>
      </c>
      <c r="C584" t="s">
        <v>69</v>
      </c>
      <c r="D584" t="str">
        <f>+VLOOKUP(C584,DIM_Mitarbeiter!A:D,4,0)</f>
        <v>VERKAUF</v>
      </c>
      <c r="E584" t="s">
        <v>81</v>
      </c>
      <c r="F584" cm="1">
        <f t="array" ref="F58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84" cm="1">
        <f t="array" ref="G58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585" spans="1:7" x14ac:dyDescent="0.3">
      <c r="A585" s="8">
        <v>44896</v>
      </c>
      <c r="B585" s="20">
        <v>2</v>
      </c>
      <c r="C585" t="s">
        <v>69</v>
      </c>
      <c r="D585" t="str">
        <f>+VLOOKUP(C585,DIM_Mitarbeiter!A:D,4,0)</f>
        <v>VERKAUF</v>
      </c>
      <c r="E585" t="s">
        <v>83</v>
      </c>
      <c r="F585" cm="1">
        <f t="array" ref="F58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85" cm="1">
        <f t="array" ref="G58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586" spans="1:7" x14ac:dyDescent="0.3">
      <c r="A586" s="8">
        <v>44896</v>
      </c>
      <c r="B586" s="20">
        <v>2</v>
      </c>
      <c r="C586" t="s">
        <v>53</v>
      </c>
      <c r="D586" t="str">
        <f>+VLOOKUP(C586,DIM_Mitarbeiter!A:D,4,0)</f>
        <v>PROD</v>
      </c>
      <c r="E586" t="s">
        <v>81</v>
      </c>
      <c r="F586" cm="1">
        <f t="array" ref="F58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86" cm="1">
        <f t="array" ref="G58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87" spans="1:7" x14ac:dyDescent="0.3">
      <c r="A587" s="8">
        <v>44896</v>
      </c>
      <c r="B587" s="20">
        <v>2</v>
      </c>
      <c r="C587" t="s">
        <v>53</v>
      </c>
      <c r="D587" t="str">
        <f>+VLOOKUP(C587,DIM_Mitarbeiter!A:D,4,0)</f>
        <v>PROD</v>
      </c>
      <c r="E587" t="s">
        <v>83</v>
      </c>
      <c r="F587" cm="1">
        <f t="array" ref="F58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87" cm="1">
        <f t="array" ref="G58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88" spans="1:7" x14ac:dyDescent="0.3">
      <c r="A588" s="8">
        <v>44896</v>
      </c>
      <c r="B588" s="20">
        <v>2</v>
      </c>
      <c r="C588" t="s">
        <v>63</v>
      </c>
      <c r="D588" t="str">
        <f>+VLOOKUP(C588,DIM_Mitarbeiter!A:D,4,0)</f>
        <v>VERKAUF</v>
      </c>
      <c r="E588" t="s">
        <v>81</v>
      </c>
      <c r="F588" cm="1">
        <f t="array" ref="F58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88" cm="1">
        <f t="array" ref="G58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89" spans="1:7" x14ac:dyDescent="0.3">
      <c r="A589" s="8">
        <v>44896</v>
      </c>
      <c r="B589" s="20">
        <v>2</v>
      </c>
      <c r="C589" t="s">
        <v>63</v>
      </c>
      <c r="D589" t="str">
        <f>+VLOOKUP(C589,DIM_Mitarbeiter!A:D,4,0)</f>
        <v>VERKAUF</v>
      </c>
      <c r="E589" t="s">
        <v>83</v>
      </c>
      <c r="F589" cm="1">
        <f t="array" ref="F58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89" cm="1">
        <f t="array" ref="G58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2</v>
      </c>
    </row>
    <row r="590" spans="1:7" x14ac:dyDescent="0.3">
      <c r="A590" s="8">
        <v>44896</v>
      </c>
      <c r="B590" s="20">
        <v>2</v>
      </c>
      <c r="C590" t="s">
        <v>72</v>
      </c>
      <c r="D590" t="str">
        <f>+VLOOKUP(C590,DIM_Mitarbeiter!A:D,4,0)</f>
        <v>PROD</v>
      </c>
      <c r="E590" t="s">
        <v>81</v>
      </c>
      <c r="F590" cm="1">
        <f t="array" ref="F59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90" cm="1">
        <f t="array" ref="G59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2</v>
      </c>
    </row>
    <row r="591" spans="1:7" x14ac:dyDescent="0.3">
      <c r="A591" s="8">
        <v>44896</v>
      </c>
      <c r="B591" s="20">
        <v>2</v>
      </c>
      <c r="C591" t="s">
        <v>72</v>
      </c>
      <c r="D591" t="str">
        <f>+VLOOKUP(C591,DIM_Mitarbeiter!A:D,4,0)</f>
        <v>PROD</v>
      </c>
      <c r="E591" t="s">
        <v>83</v>
      </c>
      <c r="F591" cm="1">
        <f t="array" ref="F59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91" cm="1">
        <f t="array" ref="G59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92" spans="1:7" x14ac:dyDescent="0.3">
      <c r="A592" s="33">
        <v>44896</v>
      </c>
      <c r="B592" s="20">
        <v>2</v>
      </c>
      <c r="C592" s="25" t="s">
        <v>46</v>
      </c>
      <c r="D592" t="str">
        <f>+VLOOKUP(C592,DIM_Mitarbeiter!A:D,4,0)</f>
        <v>PROD</v>
      </c>
      <c r="E592" s="25" t="s">
        <v>83</v>
      </c>
      <c r="F592" cm="1">
        <f t="array" ref="F59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92" cm="1">
        <f t="array" ref="G59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93" spans="1:7" x14ac:dyDescent="0.3">
      <c r="A593" s="33">
        <v>44896</v>
      </c>
      <c r="B593" s="20">
        <v>2</v>
      </c>
      <c r="C593" t="s">
        <v>46</v>
      </c>
      <c r="D593" t="str">
        <f>+VLOOKUP(C593,DIM_Mitarbeiter!A:D,4,0)</f>
        <v>PROD</v>
      </c>
      <c r="E593" t="s">
        <v>81</v>
      </c>
      <c r="F593" cm="1">
        <f t="array" ref="F59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93" cm="1">
        <f t="array" ref="G59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94" spans="1:7" x14ac:dyDescent="0.3">
      <c r="A594" s="8">
        <v>44896</v>
      </c>
      <c r="B594" s="20">
        <v>2</v>
      </c>
      <c r="C594" s="25" t="s">
        <v>39</v>
      </c>
      <c r="D594" t="str">
        <f>+VLOOKUP(C594,DIM_Mitarbeiter!A:D,4,0)</f>
        <v>VERW</v>
      </c>
      <c r="E594" t="s">
        <v>81</v>
      </c>
      <c r="F594" cm="1">
        <f t="array" ref="F59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94" cm="1">
        <f t="array" ref="G59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95" spans="1:7" x14ac:dyDescent="0.3">
      <c r="A595" s="8">
        <v>44896</v>
      </c>
      <c r="B595" s="20">
        <v>2</v>
      </c>
      <c r="C595" s="25" t="s">
        <v>39</v>
      </c>
      <c r="D595" t="str">
        <f>+VLOOKUP(C595,DIM_Mitarbeiter!A:D,4,0)</f>
        <v>VERW</v>
      </c>
      <c r="E595" t="s">
        <v>83</v>
      </c>
      <c r="F595" cm="1">
        <f t="array" ref="F59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95" cm="1">
        <f t="array" ref="G59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96" spans="1:7" x14ac:dyDescent="0.3">
      <c r="A596" s="8">
        <v>44896</v>
      </c>
      <c r="B596" s="20">
        <v>3</v>
      </c>
      <c r="C596" t="s">
        <v>56</v>
      </c>
      <c r="D596" t="str">
        <f>+VLOOKUP(C596,DIM_Mitarbeiter!A:D,4,0)</f>
        <v>VERKAUF</v>
      </c>
      <c r="E596" t="s">
        <v>81</v>
      </c>
      <c r="F596" cm="1">
        <f t="array" ref="F59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96" cm="1">
        <f t="array" ref="G59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97" spans="1:7" x14ac:dyDescent="0.3">
      <c r="A597" s="8">
        <v>44896</v>
      </c>
      <c r="B597" s="20">
        <v>3</v>
      </c>
      <c r="C597" t="s">
        <v>56</v>
      </c>
      <c r="D597" t="str">
        <f>+VLOOKUP(C597,DIM_Mitarbeiter!A:D,4,0)</f>
        <v>VERKAUF</v>
      </c>
      <c r="E597" t="s">
        <v>83</v>
      </c>
      <c r="F597" cm="1">
        <f t="array" ref="F59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97" cm="1">
        <f t="array" ref="G59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2</v>
      </c>
    </row>
    <row r="598" spans="1:7" x14ac:dyDescent="0.3">
      <c r="A598" s="8">
        <v>44896</v>
      </c>
      <c r="B598" s="20">
        <v>3</v>
      </c>
      <c r="C598" s="25" t="s">
        <v>43</v>
      </c>
      <c r="D598" t="str">
        <f>+VLOOKUP(C598,DIM_Mitarbeiter!A:D,4,0)</f>
        <v>VERW</v>
      </c>
      <c r="E598" t="s">
        <v>81</v>
      </c>
      <c r="F598" cm="1">
        <f t="array" ref="F59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98" cm="1">
        <f t="array" ref="G59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599" spans="1:7" x14ac:dyDescent="0.3">
      <c r="A599" s="8">
        <v>44896</v>
      </c>
      <c r="B599" s="20">
        <v>3</v>
      </c>
      <c r="C599" s="25" t="s">
        <v>43</v>
      </c>
      <c r="D599" t="str">
        <f>+VLOOKUP(C599,DIM_Mitarbeiter!A:D,4,0)</f>
        <v>VERW</v>
      </c>
      <c r="E599" t="s">
        <v>83</v>
      </c>
      <c r="F599" cm="1">
        <f t="array" ref="F59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599" cm="1">
        <f t="array" ref="G59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00" spans="1:7" x14ac:dyDescent="0.3">
      <c r="A600" s="8">
        <v>44896</v>
      </c>
      <c r="B600" s="20">
        <v>3</v>
      </c>
      <c r="C600" s="25" t="s">
        <v>50</v>
      </c>
      <c r="D600" t="str">
        <f>+VLOOKUP(C600,DIM_Mitarbeiter!A:D,4,0)</f>
        <v>PROD</v>
      </c>
      <c r="E600" s="25" t="s">
        <v>81</v>
      </c>
      <c r="F600" cm="1">
        <f t="array" ref="F60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600" cm="1">
        <f t="array" ref="G60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2</v>
      </c>
    </row>
    <row r="601" spans="1:7" x14ac:dyDescent="0.3">
      <c r="A601" s="8">
        <v>44896</v>
      </c>
      <c r="B601" s="20">
        <v>3</v>
      </c>
      <c r="C601" t="s">
        <v>50</v>
      </c>
      <c r="D601" t="str">
        <f>+VLOOKUP(C601,DIM_Mitarbeiter!A:D,4,0)</f>
        <v>PROD</v>
      </c>
      <c r="E601" t="s">
        <v>83</v>
      </c>
      <c r="F601" cm="1">
        <f t="array" ref="F60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601" cm="1">
        <f t="array" ref="G60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02" spans="1:7" x14ac:dyDescent="0.3">
      <c r="A602" s="8">
        <v>44896</v>
      </c>
      <c r="B602" s="20">
        <v>3</v>
      </c>
      <c r="C602" t="s">
        <v>66</v>
      </c>
      <c r="D602" t="str">
        <f>+VLOOKUP(C602,DIM_Mitarbeiter!A:D,4,0)</f>
        <v>VERW</v>
      </c>
      <c r="E602" t="s">
        <v>81</v>
      </c>
      <c r="F602" cm="1">
        <f t="array" ref="F60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602" cm="1">
        <f t="array" ref="G60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2</v>
      </c>
    </row>
    <row r="603" spans="1:7" x14ac:dyDescent="0.3">
      <c r="A603" s="8">
        <v>44896</v>
      </c>
      <c r="B603" s="20">
        <v>3</v>
      </c>
      <c r="C603" t="s">
        <v>66</v>
      </c>
      <c r="D603" t="str">
        <f>+VLOOKUP(C603,DIM_Mitarbeiter!A:D,4,0)</f>
        <v>VERW</v>
      </c>
      <c r="E603" t="s">
        <v>83</v>
      </c>
      <c r="F603" cm="1">
        <f t="array" ref="F60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603" cm="1">
        <f t="array" ref="G60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604" spans="1:7" x14ac:dyDescent="0.3">
      <c r="A604" s="8">
        <v>44896</v>
      </c>
      <c r="B604" s="20">
        <v>3</v>
      </c>
      <c r="C604" t="s">
        <v>60</v>
      </c>
      <c r="D604" t="str">
        <f>+VLOOKUP(C604,DIM_Mitarbeiter!A:D,4,0)</f>
        <v>VERKAUF</v>
      </c>
      <c r="E604" t="s">
        <v>81</v>
      </c>
      <c r="F604" cm="1">
        <f t="array" ref="F60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604" cm="1">
        <f t="array" ref="G60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605" spans="1:7" x14ac:dyDescent="0.3">
      <c r="A605" s="8">
        <v>44896</v>
      </c>
      <c r="B605" s="20">
        <v>3</v>
      </c>
      <c r="C605" t="s">
        <v>60</v>
      </c>
      <c r="D605" t="str">
        <f>+VLOOKUP(C605,DIM_Mitarbeiter!A:D,4,0)</f>
        <v>VERKAUF</v>
      </c>
      <c r="E605" t="s">
        <v>83</v>
      </c>
      <c r="F605" cm="1">
        <f t="array" ref="F60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605" cm="1">
        <f t="array" ref="G60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06" spans="1:7" x14ac:dyDescent="0.3">
      <c r="A606" s="8">
        <v>44896</v>
      </c>
      <c r="B606" s="20">
        <v>3</v>
      </c>
      <c r="C606" t="s">
        <v>69</v>
      </c>
      <c r="D606" t="str">
        <f>+VLOOKUP(C606,DIM_Mitarbeiter!A:D,4,0)</f>
        <v>VERKAUF</v>
      </c>
      <c r="E606" t="s">
        <v>81</v>
      </c>
      <c r="F606" cm="1">
        <f t="array" ref="F60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606" cm="1">
        <f t="array" ref="G60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607" spans="1:7" x14ac:dyDescent="0.3">
      <c r="A607" s="8">
        <v>44896</v>
      </c>
      <c r="B607" s="20">
        <v>3</v>
      </c>
      <c r="C607" t="s">
        <v>69</v>
      </c>
      <c r="D607" t="str">
        <f>+VLOOKUP(C607,DIM_Mitarbeiter!A:D,4,0)</f>
        <v>VERKAUF</v>
      </c>
      <c r="E607" t="s">
        <v>83</v>
      </c>
      <c r="F607" cm="1">
        <f t="array" ref="F60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607" cm="1">
        <f t="array" ref="G60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608" spans="1:7" x14ac:dyDescent="0.3">
      <c r="A608" s="8">
        <v>44896</v>
      </c>
      <c r="B608" s="20">
        <v>3</v>
      </c>
      <c r="C608" t="s">
        <v>53</v>
      </c>
      <c r="D608" t="str">
        <f>+VLOOKUP(C608,DIM_Mitarbeiter!A:D,4,0)</f>
        <v>PROD</v>
      </c>
      <c r="E608" t="s">
        <v>81</v>
      </c>
      <c r="F608" cm="1">
        <f t="array" ref="F60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608" cm="1">
        <f t="array" ref="G60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09" spans="1:7" x14ac:dyDescent="0.3">
      <c r="A609" s="8">
        <v>44896</v>
      </c>
      <c r="B609" s="20">
        <v>3</v>
      </c>
      <c r="C609" t="s">
        <v>53</v>
      </c>
      <c r="D609" t="str">
        <f>+VLOOKUP(C609,DIM_Mitarbeiter!A:D,4,0)</f>
        <v>PROD</v>
      </c>
      <c r="E609" t="s">
        <v>83</v>
      </c>
      <c r="F609" cm="1">
        <f t="array" ref="F60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609" cm="1">
        <f t="array" ref="G60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10" spans="1:7" x14ac:dyDescent="0.3">
      <c r="A610" s="8">
        <v>44896</v>
      </c>
      <c r="B610" s="20">
        <v>3</v>
      </c>
      <c r="C610" t="s">
        <v>63</v>
      </c>
      <c r="D610" t="str">
        <f>+VLOOKUP(C610,DIM_Mitarbeiter!A:D,4,0)</f>
        <v>VERKAUF</v>
      </c>
      <c r="E610" t="s">
        <v>81</v>
      </c>
      <c r="F610" cm="1">
        <f t="array" ref="F61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610" cm="1">
        <f t="array" ref="G61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11" spans="1:7" x14ac:dyDescent="0.3">
      <c r="A611" s="8">
        <v>44896</v>
      </c>
      <c r="B611" s="20">
        <v>3</v>
      </c>
      <c r="C611" t="s">
        <v>63</v>
      </c>
      <c r="D611" t="str">
        <f>+VLOOKUP(C611,DIM_Mitarbeiter!A:D,4,0)</f>
        <v>VERKAUF</v>
      </c>
      <c r="E611" t="s">
        <v>83</v>
      </c>
      <c r="F611" cm="1">
        <f t="array" ref="F61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611" cm="1">
        <f t="array" ref="G61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2</v>
      </c>
    </row>
    <row r="612" spans="1:7" x14ac:dyDescent="0.3">
      <c r="A612" s="8">
        <v>44896</v>
      </c>
      <c r="B612" s="20">
        <v>3</v>
      </c>
      <c r="C612" t="s">
        <v>72</v>
      </c>
      <c r="D612" t="str">
        <f>+VLOOKUP(C612,DIM_Mitarbeiter!A:D,4,0)</f>
        <v>PROD</v>
      </c>
      <c r="E612" t="s">
        <v>81</v>
      </c>
      <c r="F612" cm="1">
        <f t="array" ref="F61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612" cm="1">
        <f t="array" ref="G61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3</v>
      </c>
    </row>
    <row r="613" spans="1:7" x14ac:dyDescent="0.3">
      <c r="A613" s="8">
        <v>44896</v>
      </c>
      <c r="B613" s="20">
        <v>3</v>
      </c>
      <c r="C613" t="s">
        <v>72</v>
      </c>
      <c r="D613" t="str">
        <f>+VLOOKUP(C613,DIM_Mitarbeiter!A:D,4,0)</f>
        <v>PROD</v>
      </c>
      <c r="E613" t="s">
        <v>83</v>
      </c>
      <c r="F613" cm="1">
        <f t="array" ref="F61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613" cm="1">
        <f t="array" ref="G61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14" spans="1:7" x14ac:dyDescent="0.3">
      <c r="A614" s="33">
        <v>44896</v>
      </c>
      <c r="B614" s="20">
        <v>3</v>
      </c>
      <c r="C614" s="25" t="s">
        <v>46</v>
      </c>
      <c r="D614" t="str">
        <f>+VLOOKUP(C614,DIM_Mitarbeiter!A:D,4,0)</f>
        <v>PROD</v>
      </c>
      <c r="E614" s="25" t="s">
        <v>81</v>
      </c>
      <c r="F614" cm="1">
        <f t="array" ref="F61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614" cm="1">
        <f t="array" ref="G61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15" spans="1:7" x14ac:dyDescent="0.3">
      <c r="A615" s="33">
        <v>44896</v>
      </c>
      <c r="B615" s="20">
        <v>3</v>
      </c>
      <c r="C615" s="25" t="s">
        <v>46</v>
      </c>
      <c r="D615" t="str">
        <f>+VLOOKUP(C615,DIM_Mitarbeiter!A:D,4,0)</f>
        <v>PROD</v>
      </c>
      <c r="E615" s="25" t="s">
        <v>83</v>
      </c>
      <c r="F615" cm="1">
        <f t="array" ref="F61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615" cm="1">
        <f t="array" ref="G61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16" spans="1:7" x14ac:dyDescent="0.3">
      <c r="A616" s="8">
        <v>44896</v>
      </c>
      <c r="B616" s="20">
        <v>3</v>
      </c>
      <c r="C616" s="25" t="s">
        <v>39</v>
      </c>
      <c r="D616" t="str">
        <f>+VLOOKUP(C616,DIM_Mitarbeiter!A:D,4,0)</f>
        <v>VERW</v>
      </c>
      <c r="E616" s="25" t="s">
        <v>81</v>
      </c>
      <c r="F616" cm="1">
        <f t="array" ref="F61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616" cm="1">
        <f t="array" ref="G61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17" spans="1:7" x14ac:dyDescent="0.3">
      <c r="A617" s="8">
        <v>44896</v>
      </c>
      <c r="B617" s="20">
        <v>3</v>
      </c>
      <c r="C617" s="25" t="s">
        <v>39</v>
      </c>
      <c r="D617" t="str">
        <f>+VLOOKUP(C617,DIM_Mitarbeiter!A:D,4,0)</f>
        <v>VERW</v>
      </c>
      <c r="E617" t="s">
        <v>83</v>
      </c>
      <c r="F617" cm="1">
        <f t="array" ref="F61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617" cm="1">
        <f t="array" ref="G61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18" spans="1:7" x14ac:dyDescent="0.3">
      <c r="A618" s="8">
        <v>44896</v>
      </c>
      <c r="B618" s="20">
        <v>4</v>
      </c>
      <c r="C618" t="s">
        <v>56</v>
      </c>
      <c r="D618" t="str">
        <f>+VLOOKUP(C618,DIM_Mitarbeiter!A:D,4,0)</f>
        <v>VERKAUF</v>
      </c>
      <c r="E618" t="s">
        <v>81</v>
      </c>
      <c r="F618" cm="1">
        <f t="array" ref="F61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18" cm="1">
        <f t="array" ref="G61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19" spans="1:7" x14ac:dyDescent="0.3">
      <c r="A619" s="8">
        <v>44896</v>
      </c>
      <c r="B619" s="20">
        <v>4</v>
      </c>
      <c r="C619" t="s">
        <v>56</v>
      </c>
      <c r="D619" t="str">
        <f>+VLOOKUP(C619,DIM_Mitarbeiter!A:D,4,0)</f>
        <v>VERKAUF</v>
      </c>
      <c r="E619" t="s">
        <v>83</v>
      </c>
      <c r="F619" cm="1">
        <f t="array" ref="F61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19" cm="1">
        <f t="array" ref="G61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3</v>
      </c>
    </row>
    <row r="620" spans="1:7" x14ac:dyDescent="0.3">
      <c r="A620" s="8">
        <v>44896</v>
      </c>
      <c r="B620" s="20">
        <v>4</v>
      </c>
      <c r="C620" s="25" t="s">
        <v>43</v>
      </c>
      <c r="D620" t="str">
        <f>+VLOOKUP(C620,DIM_Mitarbeiter!A:D,4,0)</f>
        <v>VERW</v>
      </c>
      <c r="E620" t="s">
        <v>81</v>
      </c>
      <c r="F620" cm="1">
        <f t="array" ref="F62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20" cm="1">
        <f t="array" ref="G62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621" spans="1:7" x14ac:dyDescent="0.3">
      <c r="A621" s="8">
        <v>44896</v>
      </c>
      <c r="B621" s="20">
        <v>4</v>
      </c>
      <c r="C621" s="25" t="s">
        <v>43</v>
      </c>
      <c r="D621" t="str">
        <f>+VLOOKUP(C621,DIM_Mitarbeiter!A:D,4,0)</f>
        <v>VERW</v>
      </c>
      <c r="E621" t="s">
        <v>83</v>
      </c>
      <c r="F621" cm="1">
        <f t="array" ref="F62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21" cm="1">
        <f t="array" ref="G62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22" spans="1:7" x14ac:dyDescent="0.3">
      <c r="A622" s="8">
        <v>44896</v>
      </c>
      <c r="B622" s="20">
        <v>4</v>
      </c>
      <c r="C622" s="25" t="s">
        <v>50</v>
      </c>
      <c r="D622" t="str">
        <f>+VLOOKUP(C622,DIM_Mitarbeiter!A:D,4,0)</f>
        <v>PROD</v>
      </c>
      <c r="E622" s="25" t="s">
        <v>81</v>
      </c>
      <c r="F622" cm="1">
        <f t="array" ref="F62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22" cm="1">
        <f t="array" ref="G62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2</v>
      </c>
    </row>
    <row r="623" spans="1:7" x14ac:dyDescent="0.3">
      <c r="A623" s="8">
        <v>44896</v>
      </c>
      <c r="B623" s="20">
        <v>4</v>
      </c>
      <c r="C623" t="s">
        <v>50</v>
      </c>
      <c r="D623" t="str">
        <f>+VLOOKUP(C623,DIM_Mitarbeiter!A:D,4,0)</f>
        <v>PROD</v>
      </c>
      <c r="E623" t="s">
        <v>83</v>
      </c>
      <c r="F623" cm="1">
        <f t="array" ref="F62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23" cm="1">
        <f t="array" ref="G62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624" spans="1:7" x14ac:dyDescent="0.3">
      <c r="A624" s="8">
        <v>44896</v>
      </c>
      <c r="B624" s="20">
        <v>4</v>
      </c>
      <c r="C624" t="s">
        <v>66</v>
      </c>
      <c r="D624" t="str">
        <f>+VLOOKUP(C624,DIM_Mitarbeiter!A:D,4,0)</f>
        <v>VERW</v>
      </c>
      <c r="E624" t="s">
        <v>81</v>
      </c>
      <c r="F624" cm="1">
        <f t="array" ref="F62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24" cm="1">
        <f t="array" ref="G62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3</v>
      </c>
    </row>
    <row r="625" spans="1:7" x14ac:dyDescent="0.3">
      <c r="A625" s="8">
        <v>44896</v>
      </c>
      <c r="B625" s="20">
        <v>4</v>
      </c>
      <c r="C625" t="s">
        <v>66</v>
      </c>
      <c r="D625" t="str">
        <f>+VLOOKUP(C625,DIM_Mitarbeiter!A:D,4,0)</f>
        <v>VERW</v>
      </c>
      <c r="E625" t="s">
        <v>83</v>
      </c>
      <c r="F625" cm="1">
        <f t="array" ref="F62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25" cm="1">
        <f t="array" ref="G62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2</v>
      </c>
    </row>
    <row r="626" spans="1:7" x14ac:dyDescent="0.3">
      <c r="A626" s="8">
        <v>44896</v>
      </c>
      <c r="B626" s="20">
        <v>4</v>
      </c>
      <c r="C626" t="s">
        <v>60</v>
      </c>
      <c r="D626" t="str">
        <f>+VLOOKUP(C626,DIM_Mitarbeiter!A:D,4,0)</f>
        <v>VERKAUF</v>
      </c>
      <c r="E626" t="s">
        <v>81</v>
      </c>
      <c r="F626" cm="1">
        <f t="array" ref="F62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26" cm="1">
        <f t="array" ref="G62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627" spans="1:7" x14ac:dyDescent="0.3">
      <c r="A627" s="8">
        <v>44896</v>
      </c>
      <c r="B627" s="20">
        <v>4</v>
      </c>
      <c r="C627" t="s">
        <v>60</v>
      </c>
      <c r="D627" t="str">
        <f>+VLOOKUP(C627,DIM_Mitarbeiter!A:D,4,0)</f>
        <v>VERKAUF</v>
      </c>
      <c r="E627" t="s">
        <v>83</v>
      </c>
      <c r="F627" cm="1">
        <f t="array" ref="F62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27" cm="1">
        <f t="array" ref="G62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28" spans="1:7" x14ac:dyDescent="0.3">
      <c r="A628" s="8">
        <v>44896</v>
      </c>
      <c r="B628" s="20">
        <v>4</v>
      </c>
      <c r="C628" t="s">
        <v>69</v>
      </c>
      <c r="D628" t="str">
        <f>+VLOOKUP(C628,DIM_Mitarbeiter!A:D,4,0)</f>
        <v>VERKAUF</v>
      </c>
      <c r="E628" t="s">
        <v>81</v>
      </c>
      <c r="F628" cm="1">
        <f t="array" ref="F62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28" cm="1">
        <f t="array" ref="G62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629" spans="1:7" x14ac:dyDescent="0.3">
      <c r="A629" s="8">
        <v>44896</v>
      </c>
      <c r="B629" s="20">
        <v>4</v>
      </c>
      <c r="C629" t="s">
        <v>69</v>
      </c>
      <c r="D629" t="str">
        <f>+VLOOKUP(C629,DIM_Mitarbeiter!A:D,4,0)</f>
        <v>VERKAUF</v>
      </c>
      <c r="E629" t="s">
        <v>83</v>
      </c>
      <c r="F629" cm="1">
        <f t="array" ref="F62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29" cm="1">
        <f t="array" ref="G62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30" spans="1:7" x14ac:dyDescent="0.3">
      <c r="A630" s="8">
        <v>44896</v>
      </c>
      <c r="B630" s="20">
        <v>4</v>
      </c>
      <c r="C630" s="25" t="s">
        <v>53</v>
      </c>
      <c r="D630" t="str">
        <f>+VLOOKUP(C630,DIM_Mitarbeiter!A:D,4,0)</f>
        <v>PROD</v>
      </c>
      <c r="E630" s="25" t="s">
        <v>83</v>
      </c>
      <c r="F630" cm="1">
        <f t="array" ref="F63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30" cm="1">
        <f t="array" ref="G63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31" spans="1:7" x14ac:dyDescent="0.3">
      <c r="A631" s="8">
        <v>44896</v>
      </c>
      <c r="B631" s="20">
        <v>4</v>
      </c>
      <c r="C631" t="s">
        <v>53</v>
      </c>
      <c r="D631" t="str">
        <f>+VLOOKUP(C631,DIM_Mitarbeiter!A:D,4,0)</f>
        <v>PROD</v>
      </c>
      <c r="E631" t="s">
        <v>81</v>
      </c>
      <c r="F631" cm="1">
        <f t="array" ref="F63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31" cm="1">
        <f t="array" ref="G63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632" spans="1:7" x14ac:dyDescent="0.3">
      <c r="A632" s="8">
        <v>44896</v>
      </c>
      <c r="B632" s="20">
        <v>4</v>
      </c>
      <c r="C632" t="s">
        <v>63</v>
      </c>
      <c r="D632" t="str">
        <f>+VLOOKUP(C632,DIM_Mitarbeiter!A:D,4,0)</f>
        <v>VERKAUF</v>
      </c>
      <c r="E632" t="s">
        <v>81</v>
      </c>
      <c r="F632" cm="1">
        <f t="array" ref="F63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32" cm="1">
        <f t="array" ref="G63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33" spans="1:7" x14ac:dyDescent="0.3">
      <c r="A633" s="8">
        <v>44896</v>
      </c>
      <c r="B633" s="20">
        <v>4</v>
      </c>
      <c r="C633" t="s">
        <v>63</v>
      </c>
      <c r="D633" t="str">
        <f>+VLOOKUP(C633,DIM_Mitarbeiter!A:D,4,0)</f>
        <v>VERKAUF</v>
      </c>
      <c r="E633" t="s">
        <v>83</v>
      </c>
      <c r="F633" cm="1">
        <f t="array" ref="F63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33" cm="1">
        <f t="array" ref="G63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3</v>
      </c>
    </row>
    <row r="634" spans="1:7" x14ac:dyDescent="0.3">
      <c r="A634" s="8">
        <v>44896</v>
      </c>
      <c r="B634" s="20">
        <v>4</v>
      </c>
      <c r="C634" t="s">
        <v>72</v>
      </c>
      <c r="D634" t="str">
        <f>+VLOOKUP(C634,DIM_Mitarbeiter!A:D,4,0)</f>
        <v>PROD</v>
      </c>
      <c r="E634" t="s">
        <v>81</v>
      </c>
      <c r="F634" cm="1">
        <f t="array" ref="F63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34" cm="1">
        <f t="array" ref="G63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3</v>
      </c>
    </row>
    <row r="635" spans="1:7" x14ac:dyDescent="0.3">
      <c r="A635" s="8">
        <v>44896</v>
      </c>
      <c r="B635" s="20">
        <v>4</v>
      </c>
      <c r="C635" t="s">
        <v>72</v>
      </c>
      <c r="D635" t="str">
        <f>+VLOOKUP(C635,DIM_Mitarbeiter!A:D,4,0)</f>
        <v>PROD</v>
      </c>
      <c r="E635" t="s">
        <v>83</v>
      </c>
      <c r="F635" cm="1">
        <f t="array" ref="F63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35" cm="1">
        <f t="array" ref="G63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36" spans="1:7" x14ac:dyDescent="0.3">
      <c r="A636" s="33">
        <v>44896</v>
      </c>
      <c r="B636" s="20">
        <v>4</v>
      </c>
      <c r="C636" t="s">
        <v>46</v>
      </c>
      <c r="D636" t="str">
        <f>+VLOOKUP(C636,DIM_Mitarbeiter!A:D,4,0)</f>
        <v>PROD</v>
      </c>
      <c r="E636" t="s">
        <v>81</v>
      </c>
      <c r="F636" cm="1">
        <f t="array" ref="F63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36" cm="1">
        <f t="array" ref="G63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637" spans="1:7" x14ac:dyDescent="0.3">
      <c r="A637" s="33">
        <v>44896</v>
      </c>
      <c r="B637" s="20">
        <v>4</v>
      </c>
      <c r="C637" t="s">
        <v>46</v>
      </c>
      <c r="D637" t="str">
        <f>+VLOOKUP(C637,DIM_Mitarbeiter!A:D,4,0)</f>
        <v>PROD</v>
      </c>
      <c r="E637" t="s">
        <v>83</v>
      </c>
      <c r="F637" cm="1">
        <f t="array" ref="F63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37" cm="1">
        <f t="array" ref="G63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38" spans="1:7" x14ac:dyDescent="0.3">
      <c r="A638" s="8">
        <v>44896</v>
      </c>
      <c r="B638" s="20">
        <v>4</v>
      </c>
      <c r="C638" s="25" t="s">
        <v>39</v>
      </c>
      <c r="D638" t="str">
        <f>+VLOOKUP(C638,DIM_Mitarbeiter!A:D,4,0)</f>
        <v>VERW</v>
      </c>
      <c r="E638" s="25" t="s">
        <v>81</v>
      </c>
      <c r="F638" cm="1">
        <f t="array" ref="F63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38" cm="1">
        <f t="array" ref="G63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39" spans="1:7" x14ac:dyDescent="0.3">
      <c r="A639" s="8">
        <v>44896</v>
      </c>
      <c r="B639" s="20">
        <v>4</v>
      </c>
      <c r="C639" s="25" t="s">
        <v>39</v>
      </c>
      <c r="D639" t="str">
        <f>+VLOOKUP(C639,DIM_Mitarbeiter!A:D,4,0)</f>
        <v>VERW</v>
      </c>
      <c r="E639" t="s">
        <v>83</v>
      </c>
      <c r="F639" cm="1">
        <f t="array" ref="F63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39" cm="1">
        <f t="array" ref="G63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2</v>
      </c>
    </row>
    <row r="640" spans="1:7" x14ac:dyDescent="0.3">
      <c r="A640" s="8">
        <v>44896</v>
      </c>
      <c r="B640" s="20">
        <v>5</v>
      </c>
      <c r="C640" t="s">
        <v>56</v>
      </c>
      <c r="D640" t="str">
        <f>+VLOOKUP(C640,DIM_Mitarbeiter!A:D,4,0)</f>
        <v>VERKAUF</v>
      </c>
      <c r="E640" t="s">
        <v>81</v>
      </c>
      <c r="F640" cm="1">
        <f t="array" ref="F64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40" cm="1">
        <f t="array" ref="G64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41" spans="1:7" x14ac:dyDescent="0.3">
      <c r="A641" s="8">
        <v>44896</v>
      </c>
      <c r="B641" s="20">
        <v>5</v>
      </c>
      <c r="C641" t="s">
        <v>56</v>
      </c>
      <c r="D641" t="str">
        <f>+VLOOKUP(C641,DIM_Mitarbeiter!A:D,4,0)</f>
        <v>VERKAUF</v>
      </c>
      <c r="E641" t="s">
        <v>83</v>
      </c>
      <c r="F641" cm="1">
        <f t="array" ref="F64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41" cm="1">
        <f t="array" ref="G64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3</v>
      </c>
    </row>
    <row r="642" spans="1:7" x14ac:dyDescent="0.3">
      <c r="A642" s="8">
        <v>44896</v>
      </c>
      <c r="B642" s="20">
        <v>5</v>
      </c>
      <c r="C642" s="25" t="s">
        <v>43</v>
      </c>
      <c r="D642" t="str">
        <f>+VLOOKUP(C642,DIM_Mitarbeiter!A:D,4,0)</f>
        <v>VERW</v>
      </c>
      <c r="E642" s="25" t="s">
        <v>83</v>
      </c>
      <c r="F642" cm="1">
        <f t="array" ref="F64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42" cm="1">
        <f t="array" ref="G64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43" spans="1:7" x14ac:dyDescent="0.3">
      <c r="A643" s="8">
        <v>44896</v>
      </c>
      <c r="B643" s="20">
        <v>5</v>
      </c>
      <c r="C643" s="25" t="s">
        <v>43</v>
      </c>
      <c r="D643" t="str">
        <f>+VLOOKUP(C643,DIM_Mitarbeiter!A:D,4,0)</f>
        <v>VERW</v>
      </c>
      <c r="E643" t="s">
        <v>81</v>
      </c>
      <c r="F643" cm="1">
        <f t="array" ref="F64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43" cm="1">
        <f t="array" ref="G64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644" spans="1:7" x14ac:dyDescent="0.3">
      <c r="A644" s="8">
        <v>44896</v>
      </c>
      <c r="B644" s="20">
        <v>5</v>
      </c>
      <c r="C644" s="25" t="s">
        <v>50</v>
      </c>
      <c r="D644" t="str">
        <f>+VLOOKUP(C644,DIM_Mitarbeiter!A:D,4,0)</f>
        <v>PROD</v>
      </c>
      <c r="E644" s="25" t="s">
        <v>83</v>
      </c>
      <c r="F644" cm="1">
        <f t="array" ref="F64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44" cm="1">
        <f t="array" ref="G64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45" spans="1:7" x14ac:dyDescent="0.3">
      <c r="A645" s="8">
        <v>44896</v>
      </c>
      <c r="B645" s="20">
        <v>5</v>
      </c>
      <c r="C645" t="s">
        <v>50</v>
      </c>
      <c r="D645" t="str">
        <f>+VLOOKUP(C645,DIM_Mitarbeiter!A:D,4,0)</f>
        <v>PROD</v>
      </c>
      <c r="E645" t="s">
        <v>81</v>
      </c>
      <c r="F645" cm="1">
        <f t="array" ref="F64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45" cm="1">
        <f t="array" ref="G64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2</v>
      </c>
    </row>
    <row r="646" spans="1:7" x14ac:dyDescent="0.3">
      <c r="A646" s="8">
        <v>44896</v>
      </c>
      <c r="B646" s="20">
        <v>5</v>
      </c>
      <c r="C646" t="s">
        <v>66</v>
      </c>
      <c r="D646" t="str">
        <f>+VLOOKUP(C646,DIM_Mitarbeiter!A:D,4,0)</f>
        <v>VERW</v>
      </c>
      <c r="E646" t="s">
        <v>81</v>
      </c>
      <c r="F646" cm="1">
        <f t="array" ref="F64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46" cm="1">
        <f t="array" ref="G64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3</v>
      </c>
    </row>
    <row r="647" spans="1:7" x14ac:dyDescent="0.3">
      <c r="A647" s="8">
        <v>44896</v>
      </c>
      <c r="B647" s="20">
        <v>5</v>
      </c>
      <c r="C647" t="s">
        <v>66</v>
      </c>
      <c r="D647" t="str">
        <f>+VLOOKUP(C647,DIM_Mitarbeiter!A:D,4,0)</f>
        <v>VERW</v>
      </c>
      <c r="E647" t="s">
        <v>83</v>
      </c>
      <c r="F647" cm="1">
        <f t="array" ref="F64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47" cm="1">
        <f t="array" ref="G64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648" spans="1:7" x14ac:dyDescent="0.3">
      <c r="A648" s="8">
        <v>44896</v>
      </c>
      <c r="B648" s="20">
        <v>5</v>
      </c>
      <c r="C648" t="s">
        <v>60</v>
      </c>
      <c r="D648" t="str">
        <f>+VLOOKUP(C648,DIM_Mitarbeiter!A:D,4,0)</f>
        <v>VERKAUF</v>
      </c>
      <c r="E648" t="s">
        <v>81</v>
      </c>
      <c r="F648" cm="1">
        <f t="array" ref="F64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48" cm="1">
        <f t="array" ref="G64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2</v>
      </c>
    </row>
    <row r="649" spans="1:7" x14ac:dyDescent="0.3">
      <c r="A649" s="8">
        <v>44896</v>
      </c>
      <c r="B649" s="20">
        <v>5</v>
      </c>
      <c r="C649" t="s">
        <v>60</v>
      </c>
      <c r="D649" t="str">
        <f>+VLOOKUP(C649,DIM_Mitarbeiter!A:D,4,0)</f>
        <v>VERKAUF</v>
      </c>
      <c r="E649" t="s">
        <v>83</v>
      </c>
      <c r="F649" cm="1">
        <f t="array" ref="F64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49" cm="1">
        <f t="array" ref="G64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50" spans="1:7" x14ac:dyDescent="0.3">
      <c r="A650" s="8">
        <v>44896</v>
      </c>
      <c r="B650" s="20">
        <v>5</v>
      </c>
      <c r="C650" t="s">
        <v>69</v>
      </c>
      <c r="D650" t="str">
        <f>+VLOOKUP(C650,DIM_Mitarbeiter!A:D,4,0)</f>
        <v>VERKAUF</v>
      </c>
      <c r="E650" t="s">
        <v>81</v>
      </c>
      <c r="F650" cm="1">
        <f t="array" ref="F65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50" cm="1">
        <f t="array" ref="G65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651" spans="1:7" x14ac:dyDescent="0.3">
      <c r="A651" s="8">
        <v>44896</v>
      </c>
      <c r="B651" s="20">
        <v>5</v>
      </c>
      <c r="C651" t="s">
        <v>69</v>
      </c>
      <c r="D651" t="str">
        <f>+VLOOKUP(C651,DIM_Mitarbeiter!A:D,4,0)</f>
        <v>VERKAUF</v>
      </c>
      <c r="E651" t="s">
        <v>83</v>
      </c>
      <c r="F651" cm="1">
        <f t="array" ref="F65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51" cm="1">
        <f t="array" ref="G65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52" spans="1:7" x14ac:dyDescent="0.3">
      <c r="A652" s="8">
        <v>44896</v>
      </c>
      <c r="B652" s="20">
        <v>5</v>
      </c>
      <c r="C652" s="25" t="s">
        <v>53</v>
      </c>
      <c r="D652" t="str">
        <f>+VLOOKUP(C652,DIM_Mitarbeiter!A:D,4,0)</f>
        <v>PROD</v>
      </c>
      <c r="E652" s="25" t="s">
        <v>83</v>
      </c>
      <c r="F652" cm="1">
        <f t="array" ref="F65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52" cm="1">
        <f t="array" ref="G65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53" spans="1:7" x14ac:dyDescent="0.3">
      <c r="A653" s="8">
        <v>44896</v>
      </c>
      <c r="B653" s="20">
        <v>5</v>
      </c>
      <c r="C653" t="s">
        <v>53</v>
      </c>
      <c r="D653" t="str">
        <f>+VLOOKUP(C653,DIM_Mitarbeiter!A:D,4,0)</f>
        <v>PROD</v>
      </c>
      <c r="E653" t="s">
        <v>81</v>
      </c>
      <c r="F653" cm="1">
        <f t="array" ref="F65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53" cm="1">
        <f t="array" ref="G65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654" spans="1:7" x14ac:dyDescent="0.3">
      <c r="A654" s="8">
        <v>44896</v>
      </c>
      <c r="B654" s="20">
        <v>5</v>
      </c>
      <c r="C654" t="s">
        <v>63</v>
      </c>
      <c r="D654" t="str">
        <f>+VLOOKUP(C654,DIM_Mitarbeiter!A:D,4,0)</f>
        <v>VERKAUF</v>
      </c>
      <c r="E654" t="s">
        <v>81</v>
      </c>
      <c r="F654" cm="1">
        <f t="array" ref="F65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54" cm="1">
        <f t="array" ref="G65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55" spans="1:7" x14ac:dyDescent="0.3">
      <c r="A655" s="8">
        <v>44896</v>
      </c>
      <c r="B655" s="20">
        <v>5</v>
      </c>
      <c r="C655" t="s">
        <v>63</v>
      </c>
      <c r="D655" t="str">
        <f>+VLOOKUP(C655,DIM_Mitarbeiter!A:D,4,0)</f>
        <v>VERKAUF</v>
      </c>
      <c r="E655" t="s">
        <v>83</v>
      </c>
      <c r="F655" cm="1">
        <f t="array" ref="F65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55" cm="1">
        <f t="array" ref="G65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3</v>
      </c>
    </row>
    <row r="656" spans="1:7" x14ac:dyDescent="0.3">
      <c r="A656" s="8">
        <v>44896</v>
      </c>
      <c r="B656" s="20">
        <v>5</v>
      </c>
      <c r="C656" t="s">
        <v>72</v>
      </c>
      <c r="D656" t="str">
        <f>+VLOOKUP(C656,DIM_Mitarbeiter!A:D,4,0)</f>
        <v>PROD</v>
      </c>
      <c r="E656" t="s">
        <v>81</v>
      </c>
      <c r="F656" cm="1">
        <f t="array" ref="F65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56" cm="1">
        <f t="array" ref="G65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3</v>
      </c>
    </row>
    <row r="657" spans="1:7" x14ac:dyDescent="0.3">
      <c r="A657" s="8">
        <v>44896</v>
      </c>
      <c r="B657" s="20">
        <v>5</v>
      </c>
      <c r="C657" t="s">
        <v>72</v>
      </c>
      <c r="D657" t="str">
        <f>+VLOOKUP(C657,DIM_Mitarbeiter!A:D,4,0)</f>
        <v>PROD</v>
      </c>
      <c r="E657" t="s">
        <v>83</v>
      </c>
      <c r="F657" cm="1">
        <f t="array" ref="F65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57" cm="1">
        <f t="array" ref="G65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58" spans="1:7" x14ac:dyDescent="0.3">
      <c r="A658" s="33">
        <v>44896</v>
      </c>
      <c r="B658" s="20">
        <v>5</v>
      </c>
      <c r="C658" t="s">
        <v>46</v>
      </c>
      <c r="D658" t="str">
        <f>+VLOOKUP(C658,DIM_Mitarbeiter!A:D,4,0)</f>
        <v>PROD</v>
      </c>
      <c r="E658" t="s">
        <v>81</v>
      </c>
      <c r="F658" cm="1">
        <f t="array" ref="F65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58" cm="1">
        <f t="array" ref="G65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59" spans="1:7" x14ac:dyDescent="0.3">
      <c r="A659" s="33">
        <v>44896</v>
      </c>
      <c r="B659" s="20">
        <v>5</v>
      </c>
      <c r="C659" t="s">
        <v>46</v>
      </c>
      <c r="D659" t="str">
        <f>+VLOOKUP(C659,DIM_Mitarbeiter!A:D,4,0)</f>
        <v>PROD</v>
      </c>
      <c r="E659" t="s">
        <v>83</v>
      </c>
      <c r="F659" cm="1">
        <f t="array" ref="F65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59" cm="1">
        <f t="array" ref="G65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60" spans="1:7" x14ac:dyDescent="0.3">
      <c r="A660" s="8">
        <v>44896</v>
      </c>
      <c r="B660" s="20">
        <v>5</v>
      </c>
      <c r="C660" s="25" t="s">
        <v>39</v>
      </c>
      <c r="D660" t="str">
        <f>+VLOOKUP(C660,DIM_Mitarbeiter!A:D,4,0)</f>
        <v>VERW</v>
      </c>
      <c r="E660" s="25" t="s">
        <v>81</v>
      </c>
      <c r="F660" cm="1">
        <f t="array" ref="F66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60" cm="1">
        <f t="array" ref="G66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61" spans="1:7" x14ac:dyDescent="0.3">
      <c r="A661" s="8">
        <v>44896</v>
      </c>
      <c r="B661" s="20">
        <v>5</v>
      </c>
      <c r="C661" s="25" t="s">
        <v>39</v>
      </c>
      <c r="D661" t="str">
        <f>+VLOOKUP(C661,DIM_Mitarbeiter!A:D,4,0)</f>
        <v>VERW</v>
      </c>
      <c r="E661" t="s">
        <v>83</v>
      </c>
      <c r="F661" cm="1">
        <f t="array" ref="F66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61" cm="1">
        <f t="array" ref="G66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2</v>
      </c>
    </row>
    <row r="662" spans="1:7" x14ac:dyDescent="0.3">
      <c r="A662" s="8">
        <v>44927</v>
      </c>
      <c r="B662" s="20">
        <v>1</v>
      </c>
      <c r="C662" t="s">
        <v>56</v>
      </c>
      <c r="D662" t="str">
        <f>+VLOOKUP(C662,DIM_Mitarbeiter!A:D,4,0)</f>
        <v>VERKAUF</v>
      </c>
      <c r="E662" t="s">
        <v>81</v>
      </c>
      <c r="F662" cm="1">
        <f t="array" ref="F66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62" cm="1">
        <f t="array" ref="G66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63" spans="1:7" x14ac:dyDescent="0.3">
      <c r="A663" s="8">
        <v>44927</v>
      </c>
      <c r="B663" s="20">
        <v>1</v>
      </c>
      <c r="C663" t="s">
        <v>56</v>
      </c>
      <c r="D663" t="str">
        <f>+VLOOKUP(C663,DIM_Mitarbeiter!A:D,4,0)</f>
        <v>VERKAUF</v>
      </c>
      <c r="E663" t="s">
        <v>83</v>
      </c>
      <c r="F663" cm="1">
        <f t="array" ref="F66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63" cm="1">
        <f t="array" ref="G66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64" spans="1:7" x14ac:dyDescent="0.3">
      <c r="A664" s="8">
        <v>44927</v>
      </c>
      <c r="B664" s="20">
        <v>1</v>
      </c>
      <c r="C664" s="25" t="s">
        <v>43</v>
      </c>
      <c r="D664" t="str">
        <f>+VLOOKUP(C664,DIM_Mitarbeiter!A:D,4,0)</f>
        <v>VERW</v>
      </c>
      <c r="E664" s="25" t="s">
        <v>81</v>
      </c>
      <c r="F664" cm="1">
        <f t="array" ref="F66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64" cm="1">
        <f t="array" ref="G66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65" spans="1:7" x14ac:dyDescent="0.3">
      <c r="A665" s="8">
        <v>44927</v>
      </c>
      <c r="B665" s="20">
        <v>1</v>
      </c>
      <c r="C665" s="25" t="s">
        <v>43</v>
      </c>
      <c r="D665" t="str">
        <f>+VLOOKUP(C665,DIM_Mitarbeiter!A:D,4,0)</f>
        <v>VERW</v>
      </c>
      <c r="E665" t="s">
        <v>83</v>
      </c>
      <c r="F665" cm="1">
        <f t="array" ref="F66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65" cm="1">
        <f t="array" ref="G66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66" spans="1:7" x14ac:dyDescent="0.3">
      <c r="A666" s="8">
        <v>44927</v>
      </c>
      <c r="B666" s="20">
        <v>1</v>
      </c>
      <c r="C666" t="s">
        <v>50</v>
      </c>
      <c r="D666" t="str">
        <f>+VLOOKUP(C666,DIM_Mitarbeiter!A:D,4,0)</f>
        <v>PROD</v>
      </c>
      <c r="E666" t="s">
        <v>81</v>
      </c>
      <c r="F666" cm="1">
        <f t="array" ref="F66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66" cm="1">
        <f t="array" ref="G66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667" spans="1:7" x14ac:dyDescent="0.3">
      <c r="A667" s="8">
        <v>44927</v>
      </c>
      <c r="B667" s="20">
        <v>1</v>
      </c>
      <c r="C667" t="s">
        <v>50</v>
      </c>
      <c r="D667" t="str">
        <f>+VLOOKUP(C667,DIM_Mitarbeiter!A:D,4,0)</f>
        <v>PROD</v>
      </c>
      <c r="E667" t="s">
        <v>83</v>
      </c>
      <c r="F667" cm="1">
        <f t="array" ref="F66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67" cm="1">
        <f t="array" ref="G66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68" spans="1:7" x14ac:dyDescent="0.3">
      <c r="A668" s="8">
        <v>44927</v>
      </c>
      <c r="B668" s="20">
        <v>1</v>
      </c>
      <c r="C668" t="s">
        <v>66</v>
      </c>
      <c r="D668" t="str">
        <f>+VLOOKUP(C668,DIM_Mitarbeiter!A:D,4,0)</f>
        <v>VERW</v>
      </c>
      <c r="E668" t="s">
        <v>81</v>
      </c>
      <c r="F668" cm="1">
        <f t="array" ref="F66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68" cm="1">
        <f t="array" ref="G66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669" spans="1:7" x14ac:dyDescent="0.3">
      <c r="A669" s="8">
        <v>44927</v>
      </c>
      <c r="B669" s="20">
        <v>1</v>
      </c>
      <c r="C669" t="s">
        <v>66</v>
      </c>
      <c r="D669" t="str">
        <f>+VLOOKUP(C669,DIM_Mitarbeiter!A:D,4,0)</f>
        <v>VERW</v>
      </c>
      <c r="E669" t="s">
        <v>83</v>
      </c>
      <c r="F669" cm="1">
        <f t="array" ref="F66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69" cm="1">
        <f t="array" ref="G66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70" spans="1:7" x14ac:dyDescent="0.3">
      <c r="A670" s="8">
        <v>44927</v>
      </c>
      <c r="B670" s="20">
        <v>1</v>
      </c>
      <c r="C670" t="s">
        <v>60</v>
      </c>
      <c r="D670" t="str">
        <f>+VLOOKUP(C670,DIM_Mitarbeiter!A:D,4,0)</f>
        <v>VERKAUF</v>
      </c>
      <c r="E670" t="s">
        <v>81</v>
      </c>
      <c r="F670" cm="1">
        <f t="array" ref="F67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70" cm="1">
        <f t="array" ref="G67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671" spans="1:7" x14ac:dyDescent="0.3">
      <c r="A671" s="8">
        <v>44927</v>
      </c>
      <c r="B671" s="20">
        <v>1</v>
      </c>
      <c r="C671" t="s">
        <v>60</v>
      </c>
      <c r="D671" t="str">
        <f>+VLOOKUP(C671,DIM_Mitarbeiter!A:D,4,0)</f>
        <v>VERKAUF</v>
      </c>
      <c r="E671" t="s">
        <v>83</v>
      </c>
      <c r="F671" cm="1">
        <f t="array" ref="F67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71" cm="1">
        <f t="array" ref="G67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72" spans="1:7" x14ac:dyDescent="0.3">
      <c r="A672" s="8">
        <v>44927</v>
      </c>
      <c r="B672" s="20">
        <v>1</v>
      </c>
      <c r="C672" t="s">
        <v>69</v>
      </c>
      <c r="D672" t="str">
        <f>+VLOOKUP(C672,DIM_Mitarbeiter!A:D,4,0)</f>
        <v>VERKAUF</v>
      </c>
      <c r="E672" t="s">
        <v>81</v>
      </c>
      <c r="F672" cm="1">
        <f t="array" ref="F67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72" cm="1">
        <f t="array" ref="G67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673" spans="1:7" x14ac:dyDescent="0.3">
      <c r="A673" s="8">
        <v>44927</v>
      </c>
      <c r="B673" s="20">
        <v>1</v>
      </c>
      <c r="C673" t="s">
        <v>69</v>
      </c>
      <c r="D673" t="str">
        <f>+VLOOKUP(C673,DIM_Mitarbeiter!A:D,4,0)</f>
        <v>VERKAUF</v>
      </c>
      <c r="E673" t="s">
        <v>83</v>
      </c>
      <c r="F673" cm="1">
        <f t="array" ref="F67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73" cm="1">
        <f t="array" ref="G67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74" spans="1:7" x14ac:dyDescent="0.3">
      <c r="A674" s="8">
        <v>44927</v>
      </c>
      <c r="B674" s="20">
        <v>1</v>
      </c>
      <c r="C674" s="25" t="s">
        <v>53</v>
      </c>
      <c r="D674" t="str">
        <f>+VLOOKUP(C674,DIM_Mitarbeiter!A:D,4,0)</f>
        <v>PROD</v>
      </c>
      <c r="E674" s="25" t="s">
        <v>81</v>
      </c>
      <c r="F674" cm="1">
        <f t="array" ref="F67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74" cm="1">
        <f t="array" ref="G67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75" spans="1:7" x14ac:dyDescent="0.3">
      <c r="A675" s="8">
        <v>44927</v>
      </c>
      <c r="B675" s="20">
        <v>1</v>
      </c>
      <c r="C675" t="s">
        <v>53</v>
      </c>
      <c r="D675" t="str">
        <f>+VLOOKUP(C675,DIM_Mitarbeiter!A:D,4,0)</f>
        <v>PROD</v>
      </c>
      <c r="E675" t="s">
        <v>83</v>
      </c>
      <c r="F675" cm="1">
        <f t="array" ref="F67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75" cm="1">
        <f t="array" ref="G67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76" spans="1:7" x14ac:dyDescent="0.3">
      <c r="A676" s="8">
        <v>44927</v>
      </c>
      <c r="B676" s="20">
        <v>1</v>
      </c>
      <c r="C676" t="s">
        <v>63</v>
      </c>
      <c r="D676" t="str">
        <f>+VLOOKUP(C676,DIM_Mitarbeiter!A:D,4,0)</f>
        <v>VERKAUF</v>
      </c>
      <c r="E676" t="s">
        <v>81</v>
      </c>
      <c r="F676" cm="1">
        <f t="array" ref="F67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76" cm="1">
        <f t="array" ref="G67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77" spans="1:7" x14ac:dyDescent="0.3">
      <c r="A677" s="8">
        <v>44927</v>
      </c>
      <c r="B677" s="20">
        <v>1</v>
      </c>
      <c r="C677" t="s">
        <v>63</v>
      </c>
      <c r="D677" t="str">
        <f>+VLOOKUP(C677,DIM_Mitarbeiter!A:D,4,0)</f>
        <v>VERKAUF</v>
      </c>
      <c r="E677" t="s">
        <v>83</v>
      </c>
      <c r="F677" cm="1">
        <f t="array" ref="F67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77" cm="1">
        <f t="array" ref="G67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78" spans="1:7" x14ac:dyDescent="0.3">
      <c r="A678" s="8">
        <v>44927</v>
      </c>
      <c r="B678" s="20">
        <v>1</v>
      </c>
      <c r="C678" t="s">
        <v>72</v>
      </c>
      <c r="D678" t="str">
        <f>+VLOOKUP(C678,DIM_Mitarbeiter!A:D,4,0)</f>
        <v>PROD</v>
      </c>
      <c r="E678" t="s">
        <v>81</v>
      </c>
      <c r="F678" cm="1">
        <f t="array" ref="F67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78" cm="1">
        <f t="array" ref="G67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679" spans="1:7" x14ac:dyDescent="0.3">
      <c r="A679" s="8">
        <v>44927</v>
      </c>
      <c r="B679" s="20">
        <v>1</v>
      </c>
      <c r="C679" t="s">
        <v>72</v>
      </c>
      <c r="D679" t="str">
        <f>+VLOOKUP(C679,DIM_Mitarbeiter!A:D,4,0)</f>
        <v>PROD</v>
      </c>
      <c r="E679" t="s">
        <v>83</v>
      </c>
      <c r="F679" cm="1">
        <f t="array" ref="F67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79" cm="1">
        <f t="array" ref="G67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80" spans="1:7" x14ac:dyDescent="0.3">
      <c r="A680" s="33">
        <v>44927</v>
      </c>
      <c r="B680" s="20">
        <v>1</v>
      </c>
      <c r="C680" t="s">
        <v>46</v>
      </c>
      <c r="D680" t="str">
        <f>+VLOOKUP(C680,DIM_Mitarbeiter!A:D,4,0)</f>
        <v>PROD</v>
      </c>
      <c r="E680" t="s">
        <v>81</v>
      </c>
      <c r="F680" cm="1">
        <f t="array" ref="F68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80" cm="1">
        <f t="array" ref="G68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81" spans="1:7" x14ac:dyDescent="0.3">
      <c r="A681" s="33">
        <v>44927</v>
      </c>
      <c r="B681" s="20">
        <v>1</v>
      </c>
      <c r="C681" t="s">
        <v>46</v>
      </c>
      <c r="D681" t="str">
        <f>+VLOOKUP(C681,DIM_Mitarbeiter!A:D,4,0)</f>
        <v>PROD</v>
      </c>
      <c r="E681" t="s">
        <v>83</v>
      </c>
      <c r="F681" cm="1">
        <f t="array" ref="F68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81" cm="1">
        <f t="array" ref="G68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82" spans="1:7" x14ac:dyDescent="0.3">
      <c r="A682" s="8">
        <v>44927</v>
      </c>
      <c r="B682" s="20">
        <v>1</v>
      </c>
      <c r="C682" s="25" t="s">
        <v>39</v>
      </c>
      <c r="D682" t="str">
        <f>+VLOOKUP(C682,DIM_Mitarbeiter!A:D,4,0)</f>
        <v>VERW</v>
      </c>
      <c r="E682" s="25" t="s">
        <v>81</v>
      </c>
      <c r="F682" cm="1">
        <f t="array" ref="F68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82" cm="1">
        <f t="array" ref="G68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83" spans="1:7" x14ac:dyDescent="0.3">
      <c r="A683" s="8">
        <v>44927</v>
      </c>
      <c r="B683" s="20">
        <v>1</v>
      </c>
      <c r="C683" s="25" t="s">
        <v>39</v>
      </c>
      <c r="D683" t="str">
        <f>+VLOOKUP(C683,DIM_Mitarbeiter!A:D,4,0)</f>
        <v>VERW</v>
      </c>
      <c r="E683" s="25" t="s">
        <v>83</v>
      </c>
      <c r="F683" cm="1">
        <f t="array" ref="F68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83" cm="1">
        <f t="array" ref="G68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84" spans="1:7" x14ac:dyDescent="0.3">
      <c r="A684" s="8">
        <v>44927</v>
      </c>
      <c r="B684" s="20">
        <v>2</v>
      </c>
      <c r="C684" t="s">
        <v>56</v>
      </c>
      <c r="D684" t="str">
        <f>+VLOOKUP(C684,DIM_Mitarbeiter!A:D,4,0)</f>
        <v>VERKAUF</v>
      </c>
      <c r="E684" t="s">
        <v>81</v>
      </c>
      <c r="F684" cm="1">
        <f t="array" ref="F68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84" cm="1">
        <f t="array" ref="G68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85" spans="1:7" x14ac:dyDescent="0.3">
      <c r="A685" s="8">
        <v>44927</v>
      </c>
      <c r="B685" s="20">
        <v>2</v>
      </c>
      <c r="C685" t="s">
        <v>56</v>
      </c>
      <c r="D685" t="str">
        <f>+VLOOKUP(C685,DIM_Mitarbeiter!A:D,4,0)</f>
        <v>VERKAUF</v>
      </c>
      <c r="E685" t="s">
        <v>83</v>
      </c>
      <c r="F685" cm="1">
        <f t="array" ref="F68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85" cm="1">
        <f t="array" ref="G68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86" spans="1:7" x14ac:dyDescent="0.3">
      <c r="A686" s="8">
        <v>44927</v>
      </c>
      <c r="B686" s="20">
        <v>2</v>
      </c>
      <c r="C686" s="25" t="s">
        <v>43</v>
      </c>
      <c r="D686" t="str">
        <f>+VLOOKUP(C686,DIM_Mitarbeiter!A:D,4,0)</f>
        <v>VERW</v>
      </c>
      <c r="E686" s="25" t="s">
        <v>81</v>
      </c>
      <c r="F686" cm="1">
        <f t="array" ref="F68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86" cm="1">
        <f t="array" ref="G68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87" spans="1:7" x14ac:dyDescent="0.3">
      <c r="A687" s="8">
        <v>44927</v>
      </c>
      <c r="B687" s="20">
        <v>2</v>
      </c>
      <c r="C687" s="25" t="s">
        <v>43</v>
      </c>
      <c r="D687" t="str">
        <f>+VLOOKUP(C687,DIM_Mitarbeiter!A:D,4,0)</f>
        <v>VERW</v>
      </c>
      <c r="E687" t="s">
        <v>83</v>
      </c>
      <c r="F687" cm="1">
        <f t="array" ref="F68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87" cm="1">
        <f t="array" ref="G68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88" spans="1:7" x14ac:dyDescent="0.3">
      <c r="A688" s="8">
        <v>44927</v>
      </c>
      <c r="B688" s="20">
        <v>2</v>
      </c>
      <c r="C688" t="s">
        <v>50</v>
      </c>
      <c r="D688" t="str">
        <f>+VLOOKUP(C688,DIM_Mitarbeiter!A:D,4,0)</f>
        <v>PROD</v>
      </c>
      <c r="E688" t="s">
        <v>81</v>
      </c>
      <c r="F688" cm="1">
        <f t="array" ref="F68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88" cm="1">
        <f t="array" ref="G68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689" spans="1:7" x14ac:dyDescent="0.3">
      <c r="A689" s="8">
        <v>44927</v>
      </c>
      <c r="B689" s="20">
        <v>2</v>
      </c>
      <c r="C689" t="s">
        <v>50</v>
      </c>
      <c r="D689" t="str">
        <f>+VLOOKUP(C689,DIM_Mitarbeiter!A:D,4,0)</f>
        <v>PROD</v>
      </c>
      <c r="E689" t="s">
        <v>83</v>
      </c>
      <c r="F689" cm="1">
        <f t="array" ref="F68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89" cm="1">
        <f t="array" ref="G68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90" spans="1:7" x14ac:dyDescent="0.3">
      <c r="A690" s="8">
        <v>44927</v>
      </c>
      <c r="B690" s="20">
        <v>2</v>
      </c>
      <c r="C690" t="s">
        <v>66</v>
      </c>
      <c r="D690" t="str">
        <f>+VLOOKUP(C690,DIM_Mitarbeiter!A:D,4,0)</f>
        <v>VERW</v>
      </c>
      <c r="E690" t="s">
        <v>81</v>
      </c>
      <c r="F690" cm="1">
        <f t="array" ref="F69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90" cm="1">
        <f t="array" ref="G69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91" spans="1:7" x14ac:dyDescent="0.3">
      <c r="A691" s="8">
        <v>44927</v>
      </c>
      <c r="B691" s="20">
        <v>2</v>
      </c>
      <c r="C691" t="s">
        <v>66</v>
      </c>
      <c r="D691" t="str">
        <f>+VLOOKUP(C691,DIM_Mitarbeiter!A:D,4,0)</f>
        <v>VERW</v>
      </c>
      <c r="E691" t="s">
        <v>83</v>
      </c>
      <c r="F691" cm="1">
        <f t="array" ref="F69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91" cm="1">
        <f t="array" ref="G69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92" spans="1:7" x14ac:dyDescent="0.3">
      <c r="A692" s="8">
        <v>44927</v>
      </c>
      <c r="B692" s="20">
        <v>2</v>
      </c>
      <c r="C692" t="s">
        <v>60</v>
      </c>
      <c r="D692" t="str">
        <f>+VLOOKUP(C692,DIM_Mitarbeiter!A:D,4,0)</f>
        <v>VERKAUF</v>
      </c>
      <c r="E692" t="s">
        <v>81</v>
      </c>
      <c r="F692" cm="1">
        <f t="array" ref="F69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92" cm="1">
        <f t="array" ref="G69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693" spans="1:7" x14ac:dyDescent="0.3">
      <c r="A693" s="8">
        <v>44927</v>
      </c>
      <c r="B693" s="20">
        <v>2</v>
      </c>
      <c r="C693" t="s">
        <v>60</v>
      </c>
      <c r="D693" t="str">
        <f>+VLOOKUP(C693,DIM_Mitarbeiter!A:D,4,0)</f>
        <v>VERKAUF</v>
      </c>
      <c r="E693" t="s">
        <v>83</v>
      </c>
      <c r="F693" cm="1">
        <f t="array" ref="F69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93" cm="1">
        <f t="array" ref="G69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94" spans="1:7" x14ac:dyDescent="0.3">
      <c r="A694" s="8">
        <v>44927</v>
      </c>
      <c r="B694" s="20">
        <v>2</v>
      </c>
      <c r="C694" t="s">
        <v>69</v>
      </c>
      <c r="D694" t="str">
        <f>+VLOOKUP(C694,DIM_Mitarbeiter!A:D,4,0)</f>
        <v>VERKAUF</v>
      </c>
      <c r="E694" t="s">
        <v>81</v>
      </c>
      <c r="F694" cm="1">
        <f t="array" ref="F69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94" cm="1">
        <f t="array" ref="G69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695" spans="1:7" x14ac:dyDescent="0.3">
      <c r="A695" s="8">
        <v>44927</v>
      </c>
      <c r="B695" s="20">
        <v>2</v>
      </c>
      <c r="C695" t="s">
        <v>69</v>
      </c>
      <c r="D695" t="str">
        <f>+VLOOKUP(C695,DIM_Mitarbeiter!A:D,4,0)</f>
        <v>VERKAUF</v>
      </c>
      <c r="E695" t="s">
        <v>83</v>
      </c>
      <c r="F695" cm="1">
        <f t="array" ref="F69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95" cm="1">
        <f t="array" ref="G69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96" spans="1:7" x14ac:dyDescent="0.3">
      <c r="A696" s="8">
        <v>44927</v>
      </c>
      <c r="B696" s="20">
        <v>2</v>
      </c>
      <c r="C696" s="25" t="s">
        <v>53</v>
      </c>
      <c r="D696" t="str">
        <f>+VLOOKUP(C696,DIM_Mitarbeiter!A:D,4,0)</f>
        <v>PROD</v>
      </c>
      <c r="E696" s="25" t="s">
        <v>83</v>
      </c>
      <c r="F696" cm="1">
        <f t="array" ref="F69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96" cm="1">
        <f t="array" ref="G69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97" spans="1:7" x14ac:dyDescent="0.3">
      <c r="A697" s="8">
        <v>44927</v>
      </c>
      <c r="B697" s="20">
        <v>2</v>
      </c>
      <c r="C697" t="s">
        <v>53</v>
      </c>
      <c r="D697" t="str">
        <f>+VLOOKUP(C697,DIM_Mitarbeiter!A:D,4,0)</f>
        <v>PROD</v>
      </c>
      <c r="E697" t="s">
        <v>81</v>
      </c>
      <c r="F697" cm="1">
        <f t="array" ref="F69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97" cm="1">
        <f t="array" ref="G69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98" spans="1:7" x14ac:dyDescent="0.3">
      <c r="A698" s="8">
        <v>44927</v>
      </c>
      <c r="B698" s="20">
        <v>2</v>
      </c>
      <c r="C698" t="s">
        <v>63</v>
      </c>
      <c r="D698" t="str">
        <f>+VLOOKUP(C698,DIM_Mitarbeiter!A:D,4,0)</f>
        <v>VERKAUF</v>
      </c>
      <c r="E698" t="s">
        <v>81</v>
      </c>
      <c r="F698" cm="1">
        <f t="array" ref="F69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98" cm="1">
        <f t="array" ref="G69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699" spans="1:7" x14ac:dyDescent="0.3">
      <c r="A699" s="8">
        <v>44927</v>
      </c>
      <c r="B699" s="20">
        <v>2</v>
      </c>
      <c r="C699" t="s">
        <v>63</v>
      </c>
      <c r="D699" t="str">
        <f>+VLOOKUP(C699,DIM_Mitarbeiter!A:D,4,0)</f>
        <v>VERKAUF</v>
      </c>
      <c r="E699" t="s">
        <v>83</v>
      </c>
      <c r="F699" cm="1">
        <f t="array" ref="F69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699" cm="1">
        <f t="array" ref="G69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00" spans="1:7" x14ac:dyDescent="0.3">
      <c r="A700" s="8">
        <v>44927</v>
      </c>
      <c r="B700" s="20">
        <v>2</v>
      </c>
      <c r="C700" t="s">
        <v>72</v>
      </c>
      <c r="D700" t="str">
        <f>+VLOOKUP(C700,DIM_Mitarbeiter!A:D,4,0)</f>
        <v>PROD</v>
      </c>
      <c r="E700" t="s">
        <v>81</v>
      </c>
      <c r="F700" cm="1">
        <f t="array" ref="F70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700" cm="1">
        <f t="array" ref="G70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701" spans="1:7" x14ac:dyDescent="0.3">
      <c r="A701" s="8">
        <v>44927</v>
      </c>
      <c r="B701" s="20">
        <v>2</v>
      </c>
      <c r="C701" t="s">
        <v>72</v>
      </c>
      <c r="D701" t="str">
        <f>+VLOOKUP(C701,DIM_Mitarbeiter!A:D,4,0)</f>
        <v>PROD</v>
      </c>
      <c r="E701" t="s">
        <v>83</v>
      </c>
      <c r="F701" cm="1">
        <f t="array" ref="F70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701" cm="1">
        <f t="array" ref="G70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02" spans="1:7" x14ac:dyDescent="0.3">
      <c r="A702" s="33">
        <v>44927</v>
      </c>
      <c r="B702" s="20">
        <v>2</v>
      </c>
      <c r="C702" s="25" t="s">
        <v>46</v>
      </c>
      <c r="D702" t="str">
        <f>+VLOOKUP(C702,DIM_Mitarbeiter!A:D,4,0)</f>
        <v>PROD</v>
      </c>
      <c r="E702" s="25" t="s">
        <v>83</v>
      </c>
      <c r="F702" cm="1">
        <f t="array" ref="F70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702" cm="1">
        <f t="array" ref="G70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03" spans="1:7" x14ac:dyDescent="0.3">
      <c r="A703" s="33">
        <v>44927</v>
      </c>
      <c r="B703" s="20">
        <v>2</v>
      </c>
      <c r="C703" t="s">
        <v>46</v>
      </c>
      <c r="D703" t="str">
        <f>+VLOOKUP(C703,DIM_Mitarbeiter!A:D,4,0)</f>
        <v>PROD</v>
      </c>
      <c r="E703" t="s">
        <v>81</v>
      </c>
      <c r="F703" cm="1">
        <f t="array" ref="F70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703" cm="1">
        <f t="array" ref="G70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04" spans="1:7" x14ac:dyDescent="0.3">
      <c r="A704" s="8">
        <v>44927</v>
      </c>
      <c r="B704" s="20">
        <v>2</v>
      </c>
      <c r="C704" s="25" t="s">
        <v>39</v>
      </c>
      <c r="D704" t="str">
        <f>+VLOOKUP(C704,DIM_Mitarbeiter!A:D,4,0)</f>
        <v>VERW</v>
      </c>
      <c r="E704" t="s">
        <v>81</v>
      </c>
      <c r="F704" cm="1">
        <f t="array" ref="F70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704" cm="1">
        <f t="array" ref="G70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05" spans="1:7" x14ac:dyDescent="0.3">
      <c r="A705" s="8">
        <v>44927</v>
      </c>
      <c r="B705" s="20">
        <v>2</v>
      </c>
      <c r="C705" s="25" t="s">
        <v>39</v>
      </c>
      <c r="D705" t="str">
        <f>+VLOOKUP(C705,DIM_Mitarbeiter!A:D,4,0)</f>
        <v>VERW</v>
      </c>
      <c r="E705" t="s">
        <v>83</v>
      </c>
      <c r="F705" cm="1">
        <f t="array" ref="F70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5</v>
      </c>
      <c r="G705" cm="1">
        <f t="array" ref="G70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06" spans="1:7" x14ac:dyDescent="0.3">
      <c r="A706" s="8">
        <v>44927</v>
      </c>
      <c r="B706" s="20">
        <v>3</v>
      </c>
      <c r="C706" t="s">
        <v>56</v>
      </c>
      <c r="D706" t="str">
        <f>+VLOOKUP(C706,DIM_Mitarbeiter!A:D,4,0)</f>
        <v>VERKAUF</v>
      </c>
      <c r="E706" t="s">
        <v>81</v>
      </c>
      <c r="F706" cm="1">
        <f t="array" ref="F70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06" cm="1">
        <f t="array" ref="G70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07" spans="1:7" x14ac:dyDescent="0.3">
      <c r="A707" s="8">
        <v>44927</v>
      </c>
      <c r="B707" s="20">
        <v>3</v>
      </c>
      <c r="C707" t="s">
        <v>56</v>
      </c>
      <c r="D707" t="str">
        <f>+VLOOKUP(C707,DIM_Mitarbeiter!A:D,4,0)</f>
        <v>VERKAUF</v>
      </c>
      <c r="E707" t="s">
        <v>83</v>
      </c>
      <c r="F707" cm="1">
        <f t="array" ref="F70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07" cm="1">
        <f t="array" ref="G70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08" spans="1:7" x14ac:dyDescent="0.3">
      <c r="A708" s="8">
        <v>44927</v>
      </c>
      <c r="B708" s="20">
        <v>3</v>
      </c>
      <c r="C708" s="25" t="s">
        <v>43</v>
      </c>
      <c r="D708" t="str">
        <f>+VLOOKUP(C708,DIM_Mitarbeiter!A:D,4,0)</f>
        <v>VERW</v>
      </c>
      <c r="E708" s="25" t="s">
        <v>83</v>
      </c>
      <c r="F708" cm="1">
        <f t="array" ref="F70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08" cm="1">
        <f t="array" ref="G70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09" spans="1:7" x14ac:dyDescent="0.3">
      <c r="A709" s="8">
        <v>44927</v>
      </c>
      <c r="B709" s="20">
        <v>3</v>
      </c>
      <c r="C709" s="25" t="s">
        <v>43</v>
      </c>
      <c r="D709" t="str">
        <f>+VLOOKUP(C709,DIM_Mitarbeiter!A:D,4,0)</f>
        <v>VERW</v>
      </c>
      <c r="E709" t="s">
        <v>81</v>
      </c>
      <c r="F709" cm="1">
        <f t="array" ref="F70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09" cm="1">
        <f t="array" ref="G70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10" spans="1:7" x14ac:dyDescent="0.3">
      <c r="A710" s="8">
        <v>44927</v>
      </c>
      <c r="B710" s="20">
        <v>3</v>
      </c>
      <c r="C710" s="25" t="s">
        <v>50</v>
      </c>
      <c r="D710" t="str">
        <f>+VLOOKUP(C710,DIM_Mitarbeiter!A:D,4,0)</f>
        <v>PROD</v>
      </c>
      <c r="E710" s="25" t="s">
        <v>81</v>
      </c>
      <c r="F710" cm="1">
        <f t="array" ref="F71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10" cm="1">
        <f t="array" ref="G71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711" spans="1:7" x14ac:dyDescent="0.3">
      <c r="A711" s="8">
        <v>44927</v>
      </c>
      <c r="B711" s="20">
        <v>3</v>
      </c>
      <c r="C711" t="s">
        <v>50</v>
      </c>
      <c r="D711" t="str">
        <f>+VLOOKUP(C711,DIM_Mitarbeiter!A:D,4,0)</f>
        <v>PROD</v>
      </c>
      <c r="E711" t="s">
        <v>83</v>
      </c>
      <c r="F711" cm="1">
        <f t="array" ref="F71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11" cm="1">
        <f t="array" ref="G71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12" spans="1:7" x14ac:dyDescent="0.3">
      <c r="A712" s="8">
        <v>44927</v>
      </c>
      <c r="B712" s="20">
        <v>3</v>
      </c>
      <c r="C712" t="s">
        <v>66</v>
      </c>
      <c r="D712" t="str">
        <f>+VLOOKUP(C712,DIM_Mitarbeiter!A:D,4,0)</f>
        <v>VERW</v>
      </c>
      <c r="E712" t="s">
        <v>81</v>
      </c>
      <c r="F712" cm="1">
        <f t="array" ref="F71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12" cm="1">
        <f t="array" ref="G71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13" spans="1:7" x14ac:dyDescent="0.3">
      <c r="A713" s="8">
        <v>44927</v>
      </c>
      <c r="B713" s="20">
        <v>3</v>
      </c>
      <c r="C713" t="s">
        <v>66</v>
      </c>
      <c r="D713" t="str">
        <f>+VLOOKUP(C713,DIM_Mitarbeiter!A:D,4,0)</f>
        <v>VERW</v>
      </c>
      <c r="E713" t="s">
        <v>83</v>
      </c>
      <c r="F713" cm="1">
        <f t="array" ref="F71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13" cm="1">
        <f t="array" ref="G71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14" spans="1:7" x14ac:dyDescent="0.3">
      <c r="A714" s="8">
        <v>44927</v>
      </c>
      <c r="B714" s="20">
        <v>3</v>
      </c>
      <c r="C714" t="s">
        <v>60</v>
      </c>
      <c r="D714" t="str">
        <f>+VLOOKUP(C714,DIM_Mitarbeiter!A:D,4,0)</f>
        <v>VERKAUF</v>
      </c>
      <c r="E714" t="s">
        <v>81</v>
      </c>
      <c r="F714" cm="1">
        <f t="array" ref="F71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14" cm="1">
        <f t="array" ref="G71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715" spans="1:7" x14ac:dyDescent="0.3">
      <c r="A715" s="8">
        <v>44927</v>
      </c>
      <c r="B715" s="20">
        <v>3</v>
      </c>
      <c r="C715" t="s">
        <v>60</v>
      </c>
      <c r="D715" t="str">
        <f>+VLOOKUP(C715,DIM_Mitarbeiter!A:D,4,0)</f>
        <v>VERKAUF</v>
      </c>
      <c r="E715" t="s">
        <v>83</v>
      </c>
      <c r="F715" cm="1">
        <f t="array" ref="F71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15" cm="1">
        <f t="array" ref="G71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16" spans="1:7" x14ac:dyDescent="0.3">
      <c r="A716" s="8">
        <v>44927</v>
      </c>
      <c r="B716" s="20">
        <v>3</v>
      </c>
      <c r="C716" t="s">
        <v>69</v>
      </c>
      <c r="D716" t="str">
        <f>+VLOOKUP(C716,DIM_Mitarbeiter!A:D,4,0)</f>
        <v>VERKAUF</v>
      </c>
      <c r="E716" t="s">
        <v>81</v>
      </c>
      <c r="F716" cm="1">
        <f t="array" ref="F71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16" cm="1">
        <f t="array" ref="G71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17" spans="1:7" x14ac:dyDescent="0.3">
      <c r="A717" s="8">
        <v>44927</v>
      </c>
      <c r="B717" s="20">
        <v>3</v>
      </c>
      <c r="C717" t="s">
        <v>69</v>
      </c>
      <c r="D717" t="str">
        <f>+VLOOKUP(C717,DIM_Mitarbeiter!A:D,4,0)</f>
        <v>VERKAUF</v>
      </c>
      <c r="E717" t="s">
        <v>83</v>
      </c>
      <c r="F717" cm="1">
        <f t="array" ref="F71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17" cm="1">
        <f t="array" ref="G71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18" spans="1:7" x14ac:dyDescent="0.3">
      <c r="A718" s="8">
        <v>44927</v>
      </c>
      <c r="B718" s="20">
        <v>3</v>
      </c>
      <c r="C718" t="s">
        <v>53</v>
      </c>
      <c r="D718" t="str">
        <f>+VLOOKUP(C718,DIM_Mitarbeiter!A:D,4,0)</f>
        <v>PROD</v>
      </c>
      <c r="E718" t="s">
        <v>81</v>
      </c>
      <c r="F718" cm="1">
        <f t="array" ref="F71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18" cm="1">
        <f t="array" ref="G71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19" spans="1:7" x14ac:dyDescent="0.3">
      <c r="A719" s="8">
        <v>44927</v>
      </c>
      <c r="B719" s="20">
        <v>3</v>
      </c>
      <c r="C719" t="s">
        <v>53</v>
      </c>
      <c r="D719" t="str">
        <f>+VLOOKUP(C719,DIM_Mitarbeiter!A:D,4,0)</f>
        <v>PROD</v>
      </c>
      <c r="E719" t="s">
        <v>83</v>
      </c>
      <c r="F719" cm="1">
        <f t="array" ref="F71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19" cm="1">
        <f t="array" ref="G71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20" spans="1:7" x14ac:dyDescent="0.3">
      <c r="A720" s="8">
        <v>44927</v>
      </c>
      <c r="B720" s="20">
        <v>3</v>
      </c>
      <c r="C720" t="s">
        <v>63</v>
      </c>
      <c r="D720" t="str">
        <f>+VLOOKUP(C720,DIM_Mitarbeiter!A:D,4,0)</f>
        <v>VERKAUF</v>
      </c>
      <c r="E720" t="s">
        <v>81</v>
      </c>
      <c r="F720" cm="1">
        <f t="array" ref="F72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20" cm="1">
        <f t="array" ref="G72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21" spans="1:7" x14ac:dyDescent="0.3">
      <c r="A721" s="8">
        <v>44927</v>
      </c>
      <c r="B721" s="20">
        <v>3</v>
      </c>
      <c r="C721" t="s">
        <v>63</v>
      </c>
      <c r="D721" t="str">
        <f>+VLOOKUP(C721,DIM_Mitarbeiter!A:D,4,0)</f>
        <v>VERKAUF</v>
      </c>
      <c r="E721" t="s">
        <v>83</v>
      </c>
      <c r="F721" cm="1">
        <f t="array" ref="F72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21" cm="1">
        <f t="array" ref="G72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22" spans="1:7" x14ac:dyDescent="0.3">
      <c r="A722" s="8">
        <v>44927</v>
      </c>
      <c r="B722" s="20">
        <v>3</v>
      </c>
      <c r="C722" t="s">
        <v>72</v>
      </c>
      <c r="D722" t="str">
        <f>+VLOOKUP(C722,DIM_Mitarbeiter!A:D,4,0)</f>
        <v>PROD</v>
      </c>
      <c r="E722" t="s">
        <v>81</v>
      </c>
      <c r="F722" cm="1">
        <f t="array" ref="F72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22" cm="1">
        <f t="array" ref="G72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723" spans="1:7" x14ac:dyDescent="0.3">
      <c r="A723" s="8">
        <v>44927</v>
      </c>
      <c r="B723" s="20">
        <v>3</v>
      </c>
      <c r="C723" t="s">
        <v>72</v>
      </c>
      <c r="D723" t="str">
        <f>+VLOOKUP(C723,DIM_Mitarbeiter!A:D,4,0)</f>
        <v>PROD</v>
      </c>
      <c r="E723" t="s">
        <v>83</v>
      </c>
      <c r="F723" cm="1">
        <f t="array" ref="F72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23" cm="1">
        <f t="array" ref="G72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24" spans="1:7" x14ac:dyDescent="0.3">
      <c r="A724" s="33">
        <v>44927</v>
      </c>
      <c r="B724" s="20">
        <v>3</v>
      </c>
      <c r="C724" s="25" t="s">
        <v>46</v>
      </c>
      <c r="D724" t="str">
        <f>+VLOOKUP(C724,DIM_Mitarbeiter!A:D,4,0)</f>
        <v>PROD</v>
      </c>
      <c r="E724" s="25" t="s">
        <v>83</v>
      </c>
      <c r="F724" cm="1">
        <f t="array" ref="F72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24" cm="1">
        <f t="array" ref="G72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25" spans="1:7" x14ac:dyDescent="0.3">
      <c r="A725" s="33">
        <v>44927</v>
      </c>
      <c r="B725" s="20">
        <v>3</v>
      </c>
      <c r="C725" t="s">
        <v>46</v>
      </c>
      <c r="D725" t="str">
        <f>+VLOOKUP(C725,DIM_Mitarbeiter!A:D,4,0)</f>
        <v>PROD</v>
      </c>
      <c r="E725" t="s">
        <v>81</v>
      </c>
      <c r="F725" cm="1">
        <f t="array" ref="F72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25" cm="1">
        <f t="array" ref="G72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26" spans="1:7" x14ac:dyDescent="0.3">
      <c r="A726" s="8">
        <v>44927</v>
      </c>
      <c r="B726" s="20">
        <v>3</v>
      </c>
      <c r="C726" s="25" t="s">
        <v>39</v>
      </c>
      <c r="D726" t="str">
        <f>+VLOOKUP(C726,DIM_Mitarbeiter!A:D,4,0)</f>
        <v>VERW</v>
      </c>
      <c r="E726" t="s">
        <v>81</v>
      </c>
      <c r="F726" cm="1">
        <f t="array" ref="F72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26" cm="1">
        <f t="array" ref="G72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27" spans="1:7" x14ac:dyDescent="0.3">
      <c r="A727" s="8">
        <v>44927</v>
      </c>
      <c r="B727" s="20">
        <v>3</v>
      </c>
      <c r="C727" s="25" t="s">
        <v>39</v>
      </c>
      <c r="D727" t="str">
        <f>+VLOOKUP(C727,DIM_Mitarbeiter!A:D,4,0)</f>
        <v>VERW</v>
      </c>
      <c r="E727" t="s">
        <v>83</v>
      </c>
      <c r="F727" cm="1">
        <f t="array" ref="F72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27" cm="1">
        <f t="array" ref="G72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28" spans="1:7" x14ac:dyDescent="0.3">
      <c r="A728" s="8">
        <v>44927</v>
      </c>
      <c r="B728" s="20">
        <v>4</v>
      </c>
      <c r="C728" t="s">
        <v>56</v>
      </c>
      <c r="D728" t="str">
        <f>+VLOOKUP(C728,DIM_Mitarbeiter!A:D,4,0)</f>
        <v>VERKAUF</v>
      </c>
      <c r="E728" t="s">
        <v>81</v>
      </c>
      <c r="F728" cm="1">
        <f t="array" ref="F72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28" cm="1">
        <f t="array" ref="G72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29" spans="1:7" x14ac:dyDescent="0.3">
      <c r="A729" s="8">
        <v>44927</v>
      </c>
      <c r="B729" s="20">
        <v>4</v>
      </c>
      <c r="C729" t="s">
        <v>56</v>
      </c>
      <c r="D729" t="str">
        <f>+VLOOKUP(C729,DIM_Mitarbeiter!A:D,4,0)</f>
        <v>VERKAUF</v>
      </c>
      <c r="E729" t="s">
        <v>83</v>
      </c>
      <c r="F729" cm="1">
        <f t="array" ref="F72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29" cm="1">
        <f t="array" ref="G72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30" spans="1:7" x14ac:dyDescent="0.3">
      <c r="A730" s="8">
        <v>44927</v>
      </c>
      <c r="B730" s="20">
        <v>4</v>
      </c>
      <c r="C730" s="25" t="s">
        <v>43</v>
      </c>
      <c r="D730" t="str">
        <f>+VLOOKUP(C730,DIM_Mitarbeiter!A:D,4,0)</f>
        <v>VERW</v>
      </c>
      <c r="E730" t="s">
        <v>81</v>
      </c>
      <c r="F730" cm="1">
        <f t="array" ref="F73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30" cm="1">
        <f t="array" ref="G73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31" spans="1:7" x14ac:dyDescent="0.3">
      <c r="A731" s="8">
        <v>44927</v>
      </c>
      <c r="B731" s="20">
        <v>4</v>
      </c>
      <c r="C731" s="25" t="s">
        <v>43</v>
      </c>
      <c r="D731" t="str">
        <f>+VLOOKUP(C731,DIM_Mitarbeiter!A:D,4,0)</f>
        <v>VERW</v>
      </c>
      <c r="E731" t="s">
        <v>83</v>
      </c>
      <c r="F731" cm="1">
        <f t="array" ref="F73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31" cm="1">
        <f t="array" ref="G73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32" spans="1:7" x14ac:dyDescent="0.3">
      <c r="A732" s="8">
        <v>44927</v>
      </c>
      <c r="B732" s="20">
        <v>4</v>
      </c>
      <c r="C732" s="25" t="s">
        <v>50</v>
      </c>
      <c r="D732" t="str">
        <f>+VLOOKUP(C732,DIM_Mitarbeiter!A:D,4,0)</f>
        <v>PROD</v>
      </c>
      <c r="E732" s="25" t="s">
        <v>81</v>
      </c>
      <c r="F732" cm="1">
        <f t="array" ref="F73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32" cm="1">
        <f t="array" ref="G73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733" spans="1:7" x14ac:dyDescent="0.3">
      <c r="A733" s="8">
        <v>44927</v>
      </c>
      <c r="B733" s="20">
        <v>4</v>
      </c>
      <c r="C733" t="s">
        <v>50</v>
      </c>
      <c r="D733" t="str">
        <f>+VLOOKUP(C733,DIM_Mitarbeiter!A:D,4,0)</f>
        <v>PROD</v>
      </c>
      <c r="E733" t="s">
        <v>83</v>
      </c>
      <c r="F733" cm="1">
        <f t="array" ref="F73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33" cm="1">
        <f t="array" ref="G73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34" spans="1:7" x14ac:dyDescent="0.3">
      <c r="A734" s="8">
        <v>44927</v>
      </c>
      <c r="B734" s="20">
        <v>4</v>
      </c>
      <c r="C734" t="s">
        <v>66</v>
      </c>
      <c r="D734" t="str">
        <f>+VLOOKUP(C734,DIM_Mitarbeiter!A:D,4,0)</f>
        <v>VERW</v>
      </c>
      <c r="E734" t="s">
        <v>81</v>
      </c>
      <c r="F734" cm="1">
        <f t="array" ref="F73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34" cm="1">
        <f t="array" ref="G73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35" spans="1:7" x14ac:dyDescent="0.3">
      <c r="A735" s="8">
        <v>44927</v>
      </c>
      <c r="B735" s="20">
        <v>4</v>
      </c>
      <c r="C735" t="s">
        <v>66</v>
      </c>
      <c r="D735" t="str">
        <f>+VLOOKUP(C735,DIM_Mitarbeiter!A:D,4,0)</f>
        <v>VERW</v>
      </c>
      <c r="E735" t="s">
        <v>83</v>
      </c>
      <c r="F735" cm="1">
        <f t="array" ref="F73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35" cm="1">
        <f t="array" ref="G73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36" spans="1:7" x14ac:dyDescent="0.3">
      <c r="A736" s="8">
        <v>44927</v>
      </c>
      <c r="B736" s="20">
        <v>4</v>
      </c>
      <c r="C736" t="s">
        <v>60</v>
      </c>
      <c r="D736" t="str">
        <f>+VLOOKUP(C736,DIM_Mitarbeiter!A:D,4,0)</f>
        <v>VERKAUF</v>
      </c>
      <c r="E736" t="s">
        <v>81</v>
      </c>
      <c r="F736" cm="1">
        <f t="array" ref="F73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36" cm="1">
        <f t="array" ref="G73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737" spans="1:7" x14ac:dyDescent="0.3">
      <c r="A737" s="8">
        <v>44927</v>
      </c>
      <c r="B737" s="20">
        <v>4</v>
      </c>
      <c r="C737" t="s">
        <v>60</v>
      </c>
      <c r="D737" t="str">
        <f>+VLOOKUP(C737,DIM_Mitarbeiter!A:D,4,0)</f>
        <v>VERKAUF</v>
      </c>
      <c r="E737" t="s">
        <v>83</v>
      </c>
      <c r="F737" cm="1">
        <f t="array" ref="F73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37" cm="1">
        <f t="array" ref="G73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38" spans="1:7" x14ac:dyDescent="0.3">
      <c r="A738" s="8">
        <v>44927</v>
      </c>
      <c r="B738" s="20">
        <v>4</v>
      </c>
      <c r="C738" t="s">
        <v>69</v>
      </c>
      <c r="D738" t="str">
        <f>+VLOOKUP(C738,DIM_Mitarbeiter!A:D,4,0)</f>
        <v>VERKAUF</v>
      </c>
      <c r="E738" t="s">
        <v>81</v>
      </c>
      <c r="F738" cm="1">
        <f t="array" ref="F73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38" cm="1">
        <f t="array" ref="G73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39" spans="1:7" x14ac:dyDescent="0.3">
      <c r="A739" s="8">
        <v>44927</v>
      </c>
      <c r="B739" s="20">
        <v>4</v>
      </c>
      <c r="C739" t="s">
        <v>69</v>
      </c>
      <c r="D739" t="str">
        <f>+VLOOKUP(C739,DIM_Mitarbeiter!A:D,4,0)</f>
        <v>VERKAUF</v>
      </c>
      <c r="E739" t="s">
        <v>83</v>
      </c>
      <c r="F739" cm="1">
        <f t="array" ref="F73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39" cm="1">
        <f t="array" ref="G73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40" spans="1:7" x14ac:dyDescent="0.3">
      <c r="A740" s="8">
        <v>44927</v>
      </c>
      <c r="B740" s="20">
        <v>4</v>
      </c>
      <c r="C740" t="s">
        <v>53</v>
      </c>
      <c r="D740" t="str">
        <f>+VLOOKUP(C740,DIM_Mitarbeiter!A:D,4,0)</f>
        <v>PROD</v>
      </c>
      <c r="E740" t="s">
        <v>81</v>
      </c>
      <c r="F740" cm="1">
        <f t="array" ref="F74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40" cm="1">
        <f t="array" ref="G74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41" spans="1:7" x14ac:dyDescent="0.3">
      <c r="A741" s="8">
        <v>44927</v>
      </c>
      <c r="B741" s="20">
        <v>4</v>
      </c>
      <c r="C741" t="s">
        <v>53</v>
      </c>
      <c r="D741" t="str">
        <f>+VLOOKUP(C741,DIM_Mitarbeiter!A:D,4,0)</f>
        <v>PROD</v>
      </c>
      <c r="E741" t="s">
        <v>83</v>
      </c>
      <c r="F741" cm="1">
        <f t="array" ref="F74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41" cm="1">
        <f t="array" ref="G74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42" spans="1:7" x14ac:dyDescent="0.3">
      <c r="A742" s="8">
        <v>44927</v>
      </c>
      <c r="B742" s="20">
        <v>4</v>
      </c>
      <c r="C742" t="s">
        <v>63</v>
      </c>
      <c r="D742" t="str">
        <f>+VLOOKUP(C742,DIM_Mitarbeiter!A:D,4,0)</f>
        <v>VERKAUF</v>
      </c>
      <c r="E742" t="s">
        <v>81</v>
      </c>
      <c r="F742" cm="1">
        <f t="array" ref="F74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42" cm="1">
        <f t="array" ref="G74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43" spans="1:7" x14ac:dyDescent="0.3">
      <c r="A743" s="8">
        <v>44927</v>
      </c>
      <c r="B743" s="20">
        <v>4</v>
      </c>
      <c r="C743" t="s">
        <v>63</v>
      </c>
      <c r="D743" t="str">
        <f>+VLOOKUP(C743,DIM_Mitarbeiter!A:D,4,0)</f>
        <v>VERKAUF</v>
      </c>
      <c r="E743" t="s">
        <v>83</v>
      </c>
      <c r="F743" cm="1">
        <f t="array" ref="F74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43" cm="1">
        <f t="array" ref="G74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44" spans="1:7" x14ac:dyDescent="0.3">
      <c r="A744" s="8">
        <v>44927</v>
      </c>
      <c r="B744" s="20">
        <v>4</v>
      </c>
      <c r="C744" t="s">
        <v>72</v>
      </c>
      <c r="D744" t="str">
        <f>+VLOOKUP(C744,DIM_Mitarbeiter!A:D,4,0)</f>
        <v>PROD</v>
      </c>
      <c r="E744" t="s">
        <v>81</v>
      </c>
      <c r="F744" cm="1">
        <f t="array" ref="F74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44" cm="1">
        <f t="array" ref="G74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1</v>
      </c>
    </row>
    <row r="745" spans="1:7" x14ac:dyDescent="0.3">
      <c r="A745" s="8">
        <v>44927</v>
      </c>
      <c r="B745" s="20">
        <v>4</v>
      </c>
      <c r="C745" t="s">
        <v>72</v>
      </c>
      <c r="D745" t="str">
        <f>+VLOOKUP(C745,DIM_Mitarbeiter!A:D,4,0)</f>
        <v>PROD</v>
      </c>
      <c r="E745" t="s">
        <v>83</v>
      </c>
      <c r="F745" cm="1">
        <f t="array" ref="F74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45" cm="1">
        <f t="array" ref="G74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46" spans="1:7" x14ac:dyDescent="0.3">
      <c r="A746" s="33">
        <v>44927</v>
      </c>
      <c r="B746" s="20">
        <v>4</v>
      </c>
      <c r="C746" s="25" t="s">
        <v>46</v>
      </c>
      <c r="D746" t="str">
        <f>+VLOOKUP(C746,DIM_Mitarbeiter!A:D,4,0)</f>
        <v>PROD</v>
      </c>
      <c r="E746" s="25" t="s">
        <v>81</v>
      </c>
      <c r="F746" cm="1">
        <f t="array" ref="F74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46" cm="1">
        <f t="array" ref="G74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47" spans="1:7" x14ac:dyDescent="0.3">
      <c r="A747" s="33">
        <v>44927</v>
      </c>
      <c r="B747" s="20">
        <v>4</v>
      </c>
      <c r="C747" s="25" t="s">
        <v>46</v>
      </c>
      <c r="D747" t="str">
        <f>+VLOOKUP(C747,DIM_Mitarbeiter!A:D,4,0)</f>
        <v>PROD</v>
      </c>
      <c r="E747" s="25" t="s">
        <v>83</v>
      </c>
      <c r="F747" cm="1">
        <f t="array" ref="F74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47" cm="1">
        <f t="array" ref="G74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48" spans="1:7" x14ac:dyDescent="0.3">
      <c r="A748" s="8">
        <v>44927</v>
      </c>
      <c r="B748" s="20">
        <v>4</v>
      </c>
      <c r="C748" s="25" t="s">
        <v>39</v>
      </c>
      <c r="D748" t="str">
        <f>+VLOOKUP(C748,DIM_Mitarbeiter!A:D,4,0)</f>
        <v>VERW</v>
      </c>
      <c r="E748" s="25" t="s">
        <v>81</v>
      </c>
      <c r="F748" cm="1">
        <f t="array" ref="F74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48" cm="1">
        <f t="array" ref="G74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49" spans="1:7" x14ac:dyDescent="0.3">
      <c r="A749" s="8">
        <v>44927</v>
      </c>
      <c r="B749" s="20">
        <v>4</v>
      </c>
      <c r="C749" s="25" t="s">
        <v>39</v>
      </c>
      <c r="D749" t="str">
        <f>+VLOOKUP(C749,DIM_Mitarbeiter!A:D,4,0)</f>
        <v>VERW</v>
      </c>
      <c r="E749" t="s">
        <v>83</v>
      </c>
      <c r="F749" cm="1">
        <f t="array" ref="F74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49" cm="1">
        <f t="array" ref="G74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50" spans="1:7" x14ac:dyDescent="0.3">
      <c r="A750" s="8">
        <v>44927</v>
      </c>
      <c r="B750" s="20">
        <v>5</v>
      </c>
      <c r="C750" t="s">
        <v>56</v>
      </c>
      <c r="D750" t="str">
        <f>+VLOOKUP(C750,DIM_Mitarbeiter!A:D,4,0)</f>
        <v>VERKAUF</v>
      </c>
      <c r="E750" t="s">
        <v>81</v>
      </c>
      <c r="F750" cm="1">
        <f t="array" ref="F75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50" cm="1">
        <f t="array" ref="G75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51" spans="1:7" x14ac:dyDescent="0.3">
      <c r="A751" s="8">
        <v>44927</v>
      </c>
      <c r="B751" s="20">
        <v>5</v>
      </c>
      <c r="C751" t="s">
        <v>56</v>
      </c>
      <c r="D751" t="str">
        <f>+VLOOKUP(C751,DIM_Mitarbeiter!A:D,4,0)</f>
        <v>VERKAUF</v>
      </c>
      <c r="E751" t="s">
        <v>83</v>
      </c>
      <c r="F751" cm="1">
        <f t="array" ref="F75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51" cm="1">
        <f t="array" ref="G75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52" spans="1:7" x14ac:dyDescent="0.3">
      <c r="A752" s="8">
        <v>44927</v>
      </c>
      <c r="B752" s="20">
        <v>5</v>
      </c>
      <c r="C752" s="25" t="s">
        <v>43</v>
      </c>
      <c r="D752" t="str">
        <f>+VLOOKUP(C752,DIM_Mitarbeiter!A:D,4,0)</f>
        <v>VERW</v>
      </c>
      <c r="E752" t="s">
        <v>81</v>
      </c>
      <c r="F752" cm="1">
        <f t="array" ref="F75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52" cm="1">
        <f t="array" ref="G75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53" spans="1:7" x14ac:dyDescent="0.3">
      <c r="A753" s="8">
        <v>44927</v>
      </c>
      <c r="B753" s="20">
        <v>5</v>
      </c>
      <c r="C753" s="25" t="s">
        <v>43</v>
      </c>
      <c r="D753" t="str">
        <f>+VLOOKUP(C753,DIM_Mitarbeiter!A:D,4,0)</f>
        <v>VERW</v>
      </c>
      <c r="E753" t="s">
        <v>83</v>
      </c>
      <c r="F753" cm="1">
        <f t="array" ref="F75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53" cm="1">
        <f t="array" ref="G75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54" spans="1:7" x14ac:dyDescent="0.3">
      <c r="A754" s="8">
        <v>44927</v>
      </c>
      <c r="B754" s="20">
        <v>5</v>
      </c>
      <c r="C754" s="25" t="s">
        <v>50</v>
      </c>
      <c r="D754" t="str">
        <f>+VLOOKUP(C754,DIM_Mitarbeiter!A:D,4,0)</f>
        <v>PROD</v>
      </c>
      <c r="E754" s="25" t="s">
        <v>81</v>
      </c>
      <c r="F754" cm="1">
        <f t="array" ref="F75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54" cm="1">
        <f t="array" ref="G75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55" spans="1:7" x14ac:dyDescent="0.3">
      <c r="A755" s="8">
        <v>44927</v>
      </c>
      <c r="B755" s="20">
        <v>5</v>
      </c>
      <c r="C755" t="s">
        <v>50</v>
      </c>
      <c r="D755" t="str">
        <f>+VLOOKUP(C755,DIM_Mitarbeiter!A:D,4,0)</f>
        <v>PROD</v>
      </c>
      <c r="E755" t="s">
        <v>83</v>
      </c>
      <c r="F755" cm="1">
        <f t="array" ref="F75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55" cm="1">
        <f t="array" ref="G75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56" spans="1:7" x14ac:dyDescent="0.3">
      <c r="A756" s="8">
        <v>44927</v>
      </c>
      <c r="B756" s="20">
        <v>5</v>
      </c>
      <c r="C756" t="s">
        <v>66</v>
      </c>
      <c r="D756" t="str">
        <f>+VLOOKUP(C756,DIM_Mitarbeiter!A:D,4,0)</f>
        <v>VERW</v>
      </c>
      <c r="E756" t="s">
        <v>81</v>
      </c>
      <c r="F756" cm="1">
        <f t="array" ref="F75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56" cm="1">
        <f t="array" ref="G75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57" spans="1:7" x14ac:dyDescent="0.3">
      <c r="A757" s="8">
        <v>44927</v>
      </c>
      <c r="B757" s="20">
        <v>5</v>
      </c>
      <c r="C757" t="s">
        <v>66</v>
      </c>
      <c r="D757" t="str">
        <f>+VLOOKUP(C757,DIM_Mitarbeiter!A:D,4,0)</f>
        <v>VERW</v>
      </c>
      <c r="E757" t="s">
        <v>83</v>
      </c>
      <c r="F757" cm="1">
        <f t="array" ref="F75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57" cm="1">
        <f t="array" ref="G75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58" spans="1:7" x14ac:dyDescent="0.3">
      <c r="A758" s="8">
        <v>44927</v>
      </c>
      <c r="B758" s="20">
        <v>5</v>
      </c>
      <c r="C758" t="s">
        <v>60</v>
      </c>
      <c r="D758" t="str">
        <f>+VLOOKUP(C758,DIM_Mitarbeiter!A:D,4,0)</f>
        <v>VERKAUF</v>
      </c>
      <c r="E758" t="s">
        <v>81</v>
      </c>
      <c r="F758" cm="1">
        <f t="array" ref="F75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58" cm="1">
        <f t="array" ref="G75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59" spans="1:7" x14ac:dyDescent="0.3">
      <c r="A759" s="8">
        <v>44927</v>
      </c>
      <c r="B759" s="20">
        <v>5</v>
      </c>
      <c r="C759" t="s">
        <v>60</v>
      </c>
      <c r="D759" t="str">
        <f>+VLOOKUP(C759,DIM_Mitarbeiter!A:D,4,0)</f>
        <v>VERKAUF</v>
      </c>
      <c r="E759" t="s">
        <v>83</v>
      </c>
      <c r="F759" cm="1">
        <f t="array" ref="F75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59" cm="1">
        <f t="array" ref="G75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60" spans="1:7" x14ac:dyDescent="0.3">
      <c r="A760" s="8">
        <v>44927</v>
      </c>
      <c r="B760" s="20">
        <v>5</v>
      </c>
      <c r="C760" t="s">
        <v>69</v>
      </c>
      <c r="D760" t="str">
        <f>+VLOOKUP(C760,DIM_Mitarbeiter!A:D,4,0)</f>
        <v>VERKAUF</v>
      </c>
      <c r="E760" t="s">
        <v>81</v>
      </c>
      <c r="F760" cm="1">
        <f t="array" ref="F76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60" cm="1">
        <f t="array" ref="G76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61" spans="1:7" x14ac:dyDescent="0.3">
      <c r="A761" s="8">
        <v>44927</v>
      </c>
      <c r="B761" s="20">
        <v>5</v>
      </c>
      <c r="C761" t="s">
        <v>69</v>
      </c>
      <c r="D761" t="str">
        <f>+VLOOKUP(C761,DIM_Mitarbeiter!A:D,4,0)</f>
        <v>VERKAUF</v>
      </c>
      <c r="E761" t="s">
        <v>83</v>
      </c>
      <c r="F761" cm="1">
        <f t="array" ref="F76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61" cm="1">
        <f t="array" ref="G76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62" spans="1:7" x14ac:dyDescent="0.3">
      <c r="A762" s="8">
        <v>44927</v>
      </c>
      <c r="B762" s="20">
        <v>5</v>
      </c>
      <c r="C762" s="25" t="s">
        <v>53</v>
      </c>
      <c r="D762" t="str">
        <f>+VLOOKUP(C762,DIM_Mitarbeiter!A:D,4,0)</f>
        <v>PROD</v>
      </c>
      <c r="E762" s="25" t="s">
        <v>83</v>
      </c>
      <c r="F762" cm="1">
        <f t="array" ref="F762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62" cm="1">
        <f t="array" ref="G762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63" spans="1:7" x14ac:dyDescent="0.3">
      <c r="A763" s="8">
        <v>44927</v>
      </c>
      <c r="B763" s="20">
        <v>5</v>
      </c>
      <c r="C763" t="s">
        <v>53</v>
      </c>
      <c r="D763" t="str">
        <f>+VLOOKUP(C763,DIM_Mitarbeiter!A:D,4,0)</f>
        <v>PROD</v>
      </c>
      <c r="E763" t="s">
        <v>81</v>
      </c>
      <c r="F763" cm="1">
        <f t="array" ref="F763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63" cm="1">
        <f t="array" ref="G763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64" spans="1:7" x14ac:dyDescent="0.3">
      <c r="A764" s="8">
        <v>44927</v>
      </c>
      <c r="B764" s="20">
        <v>5</v>
      </c>
      <c r="C764" t="s">
        <v>63</v>
      </c>
      <c r="D764" t="str">
        <f>+VLOOKUP(C764,DIM_Mitarbeiter!A:D,4,0)</f>
        <v>VERKAUF</v>
      </c>
      <c r="E764" t="s">
        <v>81</v>
      </c>
      <c r="F764" cm="1">
        <f t="array" ref="F764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64" cm="1">
        <f t="array" ref="G764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65" spans="1:7" x14ac:dyDescent="0.3">
      <c r="A765" s="8">
        <v>44927</v>
      </c>
      <c r="B765" s="20">
        <v>5</v>
      </c>
      <c r="C765" t="s">
        <v>63</v>
      </c>
      <c r="D765" t="str">
        <f>+VLOOKUP(C765,DIM_Mitarbeiter!A:D,4,0)</f>
        <v>VERKAUF</v>
      </c>
      <c r="E765" t="s">
        <v>83</v>
      </c>
      <c r="F765" cm="1">
        <f t="array" ref="F765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65" cm="1">
        <f t="array" ref="G765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66" spans="1:7" x14ac:dyDescent="0.3">
      <c r="A766" s="8">
        <v>44927</v>
      </c>
      <c r="B766" s="20">
        <v>5</v>
      </c>
      <c r="C766" t="s">
        <v>72</v>
      </c>
      <c r="D766" t="str">
        <f>+VLOOKUP(C766,DIM_Mitarbeiter!A:D,4,0)</f>
        <v>PROD</v>
      </c>
      <c r="E766" t="s">
        <v>81</v>
      </c>
      <c r="F766" cm="1">
        <f t="array" ref="F766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66" cm="1">
        <f t="array" ref="G766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67" spans="1:7" x14ac:dyDescent="0.3">
      <c r="A767" s="8">
        <v>44927</v>
      </c>
      <c r="B767" s="20">
        <v>5</v>
      </c>
      <c r="C767" t="s">
        <v>72</v>
      </c>
      <c r="D767" t="str">
        <f>+VLOOKUP(C767,DIM_Mitarbeiter!A:D,4,0)</f>
        <v>PROD</v>
      </c>
      <c r="E767" t="s">
        <v>83</v>
      </c>
      <c r="F767" cm="1">
        <f t="array" ref="F767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67" cm="1">
        <f t="array" ref="G767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68" spans="1:7" x14ac:dyDescent="0.3">
      <c r="A768" s="33">
        <v>44927</v>
      </c>
      <c r="B768" s="20">
        <v>5</v>
      </c>
      <c r="C768" t="s">
        <v>46</v>
      </c>
      <c r="D768" t="str">
        <f>+VLOOKUP(C768,DIM_Mitarbeiter!A:D,4,0)</f>
        <v>PROD</v>
      </c>
      <c r="E768" t="s">
        <v>81</v>
      </c>
      <c r="F768" cm="1">
        <f t="array" ref="F768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68" cm="1">
        <f t="array" ref="G768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69" spans="1:7" x14ac:dyDescent="0.3">
      <c r="A769" s="33">
        <v>44927</v>
      </c>
      <c r="B769" s="20">
        <v>5</v>
      </c>
      <c r="C769" t="s">
        <v>46</v>
      </c>
      <c r="D769" t="str">
        <f>+VLOOKUP(C769,DIM_Mitarbeiter!A:D,4,0)</f>
        <v>PROD</v>
      </c>
      <c r="E769" t="s">
        <v>83</v>
      </c>
      <c r="F769" cm="1">
        <f t="array" ref="F769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69" cm="1">
        <f t="array" ref="G769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70" spans="1:7" x14ac:dyDescent="0.3">
      <c r="A770" s="8">
        <v>44927</v>
      </c>
      <c r="B770" s="20">
        <v>5</v>
      </c>
      <c r="C770" s="25" t="s">
        <v>39</v>
      </c>
      <c r="D770" t="str">
        <f>+VLOOKUP(C770,DIM_Mitarbeiter!A:D,4,0)</f>
        <v>VERW</v>
      </c>
      <c r="E770" s="25" t="s">
        <v>81</v>
      </c>
      <c r="F770" cm="1">
        <f t="array" ref="F770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70" cm="1">
        <f t="array" ref="G770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71" spans="1:7" x14ac:dyDescent="0.3">
      <c r="A771" s="8">
        <v>44927</v>
      </c>
      <c r="B771" s="20">
        <v>5</v>
      </c>
      <c r="C771" s="25" t="s">
        <v>39</v>
      </c>
      <c r="D771" t="str">
        <f>+VLOOKUP(C771,DIM_Mitarbeiter!A:D,4,0)</f>
        <v>VERW</v>
      </c>
      <c r="E771" t="s">
        <v>83</v>
      </c>
      <c r="F771" cm="1">
        <f t="array" ref="F771">+NETWORKDAYS.INTL(PSFT[[#This Row],[Monat_ID]],EOMONTH(PSFT[[#This Row],[Monat_ID]],0),_xlfn.IFS(PSFT[[#This Row],[Wochentag_Id]]=1,"0111111",PSFT[[#This Row],[Wochentag_Id]]=2,"1011111",PSFT[[#This Row],[Wochentag_Id]]=3,"1101111",PSFT[[#This Row],[Wochentag_Id]]=4,"1110111",PSFT[[#This Row],[Wochentag_Id]]=5,"1111011"),Feiertage[[Datum ]])</f>
        <v>4</v>
      </c>
      <c r="G771" cm="1">
        <f t="array" ref="G771">+SUMIFS(_xlfn.IFS(PSFT[[#This Row],[Wochentag_Id]]=1,Rohdaten[1.Montag],PSFT[[#This Row],[Wochentag_Id]]=2,Rohdaten[1.Dienstag],PSFT[[#This Row],[Wochentag_Id]]=3,Rohdaten[1.Mittwoch],PSFT[[#This Row],[Wochentag_Id]]=4,Rohdaten[1.Donnerstag],PSFT[[#This Row],[Wochentag_Id]]=5,Rohdaten[1.Freitag]),Rohdaten[Mitarbeiter_ID],PSFT[[#This Row],[Mitarbiter_ID]],Rohdaten[Abwesenheitsgrund],PSFT[[#This Row],[Abwesenheitsgrund]],Rohdaten[ersterMonat],PSFT[[#This Row],[Monat_ID]])+SUMIFS(_xlfn.IFS(PSFT[[#This Row],[Wochentag_Id]]=1,Rohdaten[2.Montag],PSFT[[#This Row],[Wochentag_Id]]=2,Rohdaten[2.Dienstag],PSFT[[#This Row],[Wochentag_Id]]=3,Rohdaten[2.Mittwoch],PSFT[[#This Row],[Wochentag_Id]]=4,Rohdaten[2.Donnerstag],PSFT[[#This Row],[Wochentag_Id]]=5,Rohdaten[2.Freitag]),Rohdaten[Mitarbeiter_ID],PSFT[[#This Row],[Mitarbiter_ID]],Rohdaten[Abwesenheitsgrund],PSFT[[#This Row],[Abwesenheitsgrund]],Rohdaten[zweiterMonat],PSFT[[#This Row],[Monat_ID]])</f>
        <v>0</v>
      </c>
    </row>
    <row r="772" spans="1:7" x14ac:dyDescent="0.3">
      <c r="A772" t="s">
        <v>104</v>
      </c>
      <c r="B772" s="58"/>
      <c r="F772">
        <f>SUBTOTAL(109,PSFT[Sollarbeitstage])</f>
        <v>3300</v>
      </c>
      <c r="G772" s="7">
        <f>SUBTOTAL(109,PSFT[Anzahl der Abwesenheitstagen])</f>
        <v>234</v>
      </c>
    </row>
  </sheetData>
  <phoneticPr fontId="3" type="noConversion"/>
  <conditionalFormatting sqref="A1:A1048576">
    <cfRule type="colorScale" priority="12">
      <colorScale>
        <cfvo type="min"/>
        <cfvo type="max"/>
        <color theme="5" tint="0.79998168889431442"/>
        <color theme="7" tint="-0.249977111117893"/>
      </colorScale>
    </cfRule>
  </conditionalFormatting>
  <conditionalFormatting sqref="A332:A383">
    <cfRule type="duplicateValues" priority="3"/>
    <cfRule type="duplicateValues" priority="4"/>
  </conditionalFormatting>
  <conditionalFormatting sqref="A333 A335 A337 A344 A346 A348 A355 A357 A359 A366 A368 A370 A377 A379 A381 A383 A361:A364 A372:A375 A339:A342 A350:A353">
    <cfRule type="duplicateValues" priority="2"/>
  </conditionalFormatting>
  <conditionalFormatting sqref="A2:B331">
    <cfRule type="duplicateValues" priority="8"/>
  </conditionalFormatting>
  <conditionalFormatting sqref="B1:B1048576">
    <cfRule type="duplicateValues" priority="14"/>
    <cfRule type="colorScale" priority="15">
      <colorScale>
        <cfvo type="min"/>
        <cfvo type="max"/>
        <color rgb="FFFFEF9C"/>
        <color rgb="FF63BE7B"/>
      </colorScale>
    </cfRule>
  </conditionalFormatting>
  <conditionalFormatting sqref="B167:B221">
    <cfRule type="duplicateValues" priority="7"/>
  </conditionalFormatting>
  <conditionalFormatting sqref="B222:B276">
    <cfRule type="duplicateValues" priority="6"/>
  </conditionalFormatting>
  <conditionalFormatting sqref="B277:B383">
    <cfRule type="duplicateValues" priority="5"/>
  </conditionalFormatting>
  <conditionalFormatting sqref="B332:B383">
    <cfRule type="duplicateValues" priority="1"/>
  </conditionalFormatting>
  <conditionalFormatting sqref="F1:G1 D1:D771 A1:B771">
    <cfRule type="duplicateValues" priority="59"/>
  </conditionalFormatting>
  <pageMargins left="0.7" right="0.7" top="0.78740157499999996" bottom="0.78740157499999996" header="0.3" footer="0.3"/>
  <drawing r:id="rId1"/>
  <legacy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AAD53-8A33-4F15-A3F0-11FC1A6028E4}">
  <sheetPr codeName="Tabelle10">
    <tabColor theme="5" tint="-0.249977111117893"/>
  </sheetPr>
  <dimension ref="A1:F59"/>
  <sheetViews>
    <sheetView workbookViewId="0">
      <selection activeCell="F1" sqref="F1"/>
    </sheetView>
  </sheetViews>
  <sheetFormatPr baseColWidth="10" defaultColWidth="11.44140625" defaultRowHeight="14.4" x14ac:dyDescent="0.3"/>
  <cols>
    <col min="2" max="2" width="37" customWidth="1"/>
    <col min="3" max="3" width="15.44140625" customWidth="1"/>
    <col min="4" max="4" width="16.44140625" customWidth="1"/>
    <col min="5" max="5" width="20" customWidth="1"/>
    <col min="6" max="6" width="21.33203125" customWidth="1"/>
    <col min="7" max="7" width="19.6640625" customWidth="1"/>
    <col min="8" max="9" width="19.44140625" bestFit="1" customWidth="1"/>
    <col min="12" max="12" width="20.33203125" bestFit="1" customWidth="1"/>
    <col min="14" max="14" width="23.5546875" bestFit="1" customWidth="1"/>
  </cols>
  <sheetData>
    <row r="1" spans="1:6" x14ac:dyDescent="0.3">
      <c r="A1" s="22" t="s">
        <v>111</v>
      </c>
      <c r="B1" s="26" t="s">
        <v>112</v>
      </c>
      <c r="C1" s="26" t="s">
        <v>85</v>
      </c>
      <c r="D1" s="26" t="s">
        <v>38</v>
      </c>
      <c r="E1" s="26" t="s">
        <v>88</v>
      </c>
      <c r="F1" s="27" t="s">
        <v>89</v>
      </c>
    </row>
    <row r="2" spans="1:6" x14ac:dyDescent="0.3">
      <c r="A2">
        <v>1</v>
      </c>
      <c r="B2" s="3">
        <f>+WORKDAY.INTL(Rohdaten[[#This Row],[bis_Datum]],1,1,Feiertage[[Datum ]])</f>
        <v>44747</v>
      </c>
      <c r="C2" t="str">
        <f>Rohdaten[[#This Row],[Mitarbeiter_ID]]</f>
        <v>BB</v>
      </c>
      <c r="D2" t="str">
        <f>Rohdaten[[#This Row],[Abteilungscode]]</f>
        <v>VERKAUF</v>
      </c>
      <c r="E2" t="str">
        <f>Rohdaten[[#This Row],[Abwesenheitsgrund]]</f>
        <v>Krank</v>
      </c>
      <c r="F2">
        <f>Rohdaten[[#This Row],[Gesamtabwesenheit]]</f>
        <v>1</v>
      </c>
    </row>
    <row r="3" spans="1:6" x14ac:dyDescent="0.3">
      <c r="A3">
        <v>2</v>
      </c>
      <c r="B3" s="3">
        <f>+WORKDAY.INTL(Rohdaten[[#This Row],[bis_Datum]],1,1,Feiertage[[Datum ]])</f>
        <v>44747</v>
      </c>
      <c r="C3" t="str">
        <f>Rohdaten[[#This Row],[Mitarbeiter_ID]]</f>
        <v>AD</v>
      </c>
      <c r="D3" t="str">
        <f>Rohdaten[[#This Row],[Abteilungscode]]</f>
        <v>VERKAUF</v>
      </c>
      <c r="E3" t="str">
        <f>Rohdaten[[#This Row],[Abwesenheitsgrund]]</f>
        <v>Krank</v>
      </c>
      <c r="F3">
        <f>Rohdaten[[#This Row],[Gesamtabwesenheit]]</f>
        <v>1</v>
      </c>
    </row>
    <row r="4" spans="1:6" x14ac:dyDescent="0.3">
      <c r="A4">
        <v>3</v>
      </c>
      <c r="B4" s="3">
        <f>+WORKDAY.INTL(Rohdaten[[#This Row],[bis_Datum]],1,1,Feiertage[[Datum ]])</f>
        <v>44762</v>
      </c>
      <c r="C4" t="str">
        <f>Rohdaten[[#This Row],[Mitarbeiter_ID]]</f>
        <v>YB</v>
      </c>
      <c r="D4" t="str">
        <f>Rohdaten[[#This Row],[Abteilungscode]]</f>
        <v>VERW</v>
      </c>
      <c r="E4" t="str">
        <f>Rohdaten[[#This Row],[Abwesenheitsgrund]]</f>
        <v>Krank</v>
      </c>
      <c r="F4">
        <f>Rohdaten[[#This Row],[Gesamtabwesenheit]]</f>
        <v>4</v>
      </c>
    </row>
    <row r="5" spans="1:6" x14ac:dyDescent="0.3">
      <c r="A5">
        <v>4</v>
      </c>
      <c r="B5" s="3">
        <f>+WORKDAY.INTL(Rohdaten[[#This Row],[bis_Datum]],1,1,Feiertage[[Datum ]])</f>
        <v>44776</v>
      </c>
      <c r="C5" t="str">
        <f>Rohdaten[[#This Row],[Mitarbeiter_ID]]</f>
        <v>AH</v>
      </c>
      <c r="D5" t="str">
        <f>Rohdaten[[#This Row],[Abteilungscode]]</f>
        <v>VERW</v>
      </c>
      <c r="E5" t="str">
        <f>Rohdaten[[#This Row],[Abwesenheitsgrund]]</f>
        <v>Krank</v>
      </c>
      <c r="F5">
        <f>Rohdaten[[#This Row],[Gesamtabwesenheit]]</f>
        <v>2</v>
      </c>
    </row>
    <row r="6" spans="1:6" x14ac:dyDescent="0.3">
      <c r="A6">
        <v>5</v>
      </c>
      <c r="B6" s="3">
        <f>+WORKDAY.INTL(Rohdaten[[#This Row],[bis_Datum]],1,1,Feiertage[[Datum ]])</f>
        <v>44795</v>
      </c>
      <c r="C6" t="str">
        <f>Rohdaten[[#This Row],[Mitarbeiter_ID]]</f>
        <v>YB</v>
      </c>
      <c r="D6" t="str">
        <f>Rohdaten[[#This Row],[Abteilungscode]]</f>
        <v>VERW</v>
      </c>
      <c r="E6" t="str">
        <f>Rohdaten[[#This Row],[Abwesenheitsgrund]]</f>
        <v>Urlaub</v>
      </c>
      <c r="F6">
        <f>Rohdaten[[#This Row],[Gesamtabwesenheit]]</f>
        <v>14</v>
      </c>
    </row>
    <row r="7" spans="1:6" x14ac:dyDescent="0.3">
      <c r="A7">
        <v>6</v>
      </c>
      <c r="B7" s="3">
        <f>+WORKDAY.INTL(Rohdaten[[#This Row],[bis_Datum]],1,1,Feiertage[[Datum ]])</f>
        <v>44788</v>
      </c>
      <c r="C7" t="str">
        <f>Rohdaten[[#This Row],[Mitarbeiter_ID]]</f>
        <v>AH</v>
      </c>
      <c r="D7" t="str">
        <f>Rohdaten[[#This Row],[Abteilungscode]]</f>
        <v>VERW</v>
      </c>
      <c r="E7" t="str">
        <f>Rohdaten[[#This Row],[Abwesenheitsgrund]]</f>
        <v>Krank</v>
      </c>
      <c r="F7">
        <f>Rohdaten[[#This Row],[Gesamtabwesenheit]]</f>
        <v>5</v>
      </c>
    </row>
    <row r="8" spans="1:6" x14ac:dyDescent="0.3">
      <c r="A8">
        <v>7</v>
      </c>
      <c r="B8" s="3">
        <f>+WORKDAY.INTL(Rohdaten[[#This Row],[bis_Datum]],1,1,Feiertage[[Datum ]])</f>
        <v>44792</v>
      </c>
      <c r="C8" t="str">
        <f>Rohdaten[[#This Row],[Mitarbeiter_ID]]</f>
        <v>SB</v>
      </c>
      <c r="D8" t="str">
        <f>Rohdaten[[#This Row],[Abteilungscode]]</f>
        <v>PROD</v>
      </c>
      <c r="E8" t="str">
        <f>Rohdaten[[#This Row],[Abwesenheitsgrund]]</f>
        <v>Krank</v>
      </c>
      <c r="F8">
        <f>Rohdaten[[#This Row],[Gesamtabwesenheit]]</f>
        <v>5</v>
      </c>
    </row>
    <row r="9" spans="1:6" x14ac:dyDescent="0.3">
      <c r="A9">
        <v>8</v>
      </c>
      <c r="B9" s="3">
        <f>+WORKDAY.INTL(Rohdaten[[#This Row],[bis_Datum]],1,1,Feiertage[[Datum ]])</f>
        <v>44790</v>
      </c>
      <c r="C9" t="str">
        <f>Rohdaten[[#This Row],[Mitarbeiter_ID]]</f>
        <v>BB</v>
      </c>
      <c r="D9" t="str">
        <f>Rohdaten[[#This Row],[Abteilungscode]]</f>
        <v>VERKAUF</v>
      </c>
      <c r="E9" t="str">
        <f>Rohdaten[[#This Row],[Abwesenheitsgrund]]</f>
        <v>Krank</v>
      </c>
      <c r="F9">
        <f>Rohdaten[[#This Row],[Gesamtabwesenheit]]</f>
        <v>2</v>
      </c>
    </row>
    <row r="10" spans="1:6" x14ac:dyDescent="0.3">
      <c r="A10">
        <v>9</v>
      </c>
      <c r="B10" s="3">
        <f>+WORKDAY.INTL(Rohdaten[[#This Row],[bis_Datum]],1,1,Feiertage[[Datum ]])</f>
        <v>44791</v>
      </c>
      <c r="C10" t="str">
        <f>Rohdaten[[#This Row],[Mitarbeiter_ID]]</f>
        <v>AD</v>
      </c>
      <c r="D10" t="str">
        <f>Rohdaten[[#This Row],[Abteilungscode]]</f>
        <v>VERKAUF</v>
      </c>
      <c r="E10" t="str">
        <f>Rohdaten[[#This Row],[Abwesenheitsgrund]]</f>
        <v>Krank</v>
      </c>
      <c r="F10">
        <f>Rohdaten[[#This Row],[Gesamtabwesenheit]]</f>
        <v>1</v>
      </c>
    </row>
    <row r="11" spans="1:6" x14ac:dyDescent="0.3">
      <c r="A11">
        <v>10</v>
      </c>
      <c r="B11" s="3">
        <f>+WORKDAY.INTL(Rohdaten[[#This Row],[bis_Datum]],1,1,Feiertage[[Datum ]])</f>
        <v>44809</v>
      </c>
      <c r="C11" t="str">
        <f>Rohdaten[[#This Row],[Mitarbeiter_ID]]</f>
        <v>AD</v>
      </c>
      <c r="D11" t="str">
        <f>Rohdaten[[#This Row],[Abteilungscode]]</f>
        <v>VERKAUF</v>
      </c>
      <c r="E11" t="str">
        <f>Rohdaten[[#This Row],[Abwesenheitsgrund]]</f>
        <v>Urlaub</v>
      </c>
      <c r="F11">
        <f>Rohdaten[[#This Row],[Gesamtabwesenheit]]</f>
        <v>1</v>
      </c>
    </row>
    <row r="12" spans="1:6" x14ac:dyDescent="0.3">
      <c r="A12">
        <v>11</v>
      </c>
      <c r="B12" s="3">
        <f>+WORKDAY.INTL(Rohdaten[[#This Row],[bis_Datum]],1,1,Feiertage[[Datum ]])</f>
        <v>44812</v>
      </c>
      <c r="C12" t="str">
        <f>Rohdaten[[#This Row],[Mitarbeiter_ID]]</f>
        <v>HZ</v>
      </c>
      <c r="D12" t="str">
        <f>Rohdaten[[#This Row],[Abteilungscode]]</f>
        <v>PROD</v>
      </c>
      <c r="E12" t="str">
        <f>Rohdaten[[#This Row],[Abwesenheitsgrund]]</f>
        <v>Krank</v>
      </c>
      <c r="F12">
        <f>Rohdaten[[#This Row],[Gesamtabwesenheit]]</f>
        <v>3</v>
      </c>
    </row>
    <row r="13" spans="1:6" x14ac:dyDescent="0.3">
      <c r="A13">
        <v>12</v>
      </c>
      <c r="B13" s="3">
        <f>+WORKDAY.INTL(Rohdaten[[#This Row],[bis_Datum]],1,1,Feiertage[[Datum ]])</f>
        <v>44816</v>
      </c>
      <c r="C13" t="str">
        <f>Rohdaten[[#This Row],[Mitarbeiter_ID]]</f>
        <v>AH</v>
      </c>
      <c r="D13" t="str">
        <f>Rohdaten[[#This Row],[Abteilungscode]]</f>
        <v>VERW</v>
      </c>
      <c r="E13" t="str">
        <f>Rohdaten[[#This Row],[Abwesenheitsgrund]]</f>
        <v>Urlaub</v>
      </c>
      <c r="F13">
        <f>Rohdaten[[#This Row],[Gesamtabwesenheit]]</f>
        <v>1</v>
      </c>
    </row>
    <row r="14" spans="1:6" x14ac:dyDescent="0.3">
      <c r="A14">
        <v>13</v>
      </c>
      <c r="B14" s="3">
        <f>+WORKDAY.INTL(Rohdaten[[#This Row],[bis_Datum]],1,1,Feiertage[[Datum ]])</f>
        <v>44823</v>
      </c>
      <c r="C14" t="str">
        <f>Rohdaten[[#This Row],[Mitarbeiter_ID]]</f>
        <v>BB</v>
      </c>
      <c r="D14" t="str">
        <f>Rohdaten[[#This Row],[Abteilungscode]]</f>
        <v>VERKAUF</v>
      </c>
      <c r="E14" t="str">
        <f>Rohdaten[[#This Row],[Abwesenheitsgrund]]</f>
        <v>Krank</v>
      </c>
      <c r="F14">
        <f>Rohdaten[[#This Row],[Gesamtabwesenheit]]</f>
        <v>2</v>
      </c>
    </row>
    <row r="15" spans="1:6" x14ac:dyDescent="0.3">
      <c r="A15">
        <v>14</v>
      </c>
      <c r="B15" s="3">
        <f>+WORKDAY.INTL(Rohdaten[[#This Row],[bis_Datum]],1,1,Feiertage[[Datum ]])</f>
        <v>44830</v>
      </c>
      <c r="C15" t="str">
        <f>Rohdaten[[#This Row],[Mitarbeiter_ID]]</f>
        <v>BB</v>
      </c>
      <c r="D15" t="str">
        <f>Rohdaten[[#This Row],[Abteilungscode]]</f>
        <v>VERKAUF</v>
      </c>
      <c r="E15" t="str">
        <f>Rohdaten[[#This Row],[Abwesenheitsgrund]]</f>
        <v>Urlaub</v>
      </c>
      <c r="F15">
        <f>Rohdaten[[#This Row],[Gesamtabwesenheit]]</f>
        <v>1</v>
      </c>
    </row>
    <row r="16" spans="1:6" x14ac:dyDescent="0.3">
      <c r="A16">
        <v>15</v>
      </c>
      <c r="B16" s="3">
        <f>+WORKDAY.INTL(Rohdaten[[#This Row],[bis_Datum]],1,1,Feiertage[[Datum ]])</f>
        <v>44830</v>
      </c>
      <c r="C16" t="str">
        <f>Rohdaten[[#This Row],[Mitarbeiter_ID]]</f>
        <v>AD</v>
      </c>
      <c r="D16" t="str">
        <f>Rohdaten[[#This Row],[Abteilungscode]]</f>
        <v>VERKAUF</v>
      </c>
      <c r="E16" t="str">
        <f>Rohdaten[[#This Row],[Abwesenheitsgrund]]</f>
        <v>Urlaub</v>
      </c>
      <c r="F16">
        <f>Rohdaten[[#This Row],[Gesamtabwesenheit]]</f>
        <v>0</v>
      </c>
    </row>
    <row r="17" spans="1:6" x14ac:dyDescent="0.3">
      <c r="A17">
        <v>16</v>
      </c>
      <c r="B17" s="3">
        <f>+WORKDAY.INTL(Rohdaten[[#This Row],[bis_Datum]],1,1,Feiertage[[Datum ]])</f>
        <v>44844</v>
      </c>
      <c r="C17" t="str">
        <f>Rohdaten[[#This Row],[Mitarbeiter_ID]]</f>
        <v>YB</v>
      </c>
      <c r="D17" t="str">
        <f>Rohdaten[[#This Row],[Abteilungscode]]</f>
        <v>VERW</v>
      </c>
      <c r="E17" t="str">
        <f>Rohdaten[[#This Row],[Abwesenheitsgrund]]</f>
        <v>Krank</v>
      </c>
      <c r="F17">
        <f>Rohdaten[[#This Row],[Gesamtabwesenheit]]</f>
        <v>4</v>
      </c>
    </row>
    <row r="18" spans="1:6" x14ac:dyDescent="0.3">
      <c r="A18">
        <v>17</v>
      </c>
      <c r="B18" s="3">
        <f>+WORKDAY.INTL(Rohdaten[[#This Row],[bis_Datum]],1,1,Feiertage[[Datum ]])</f>
        <v>44844</v>
      </c>
      <c r="C18" s="55" t="str">
        <f>Rohdaten[[#This Row],[Mitarbeiter_ID]]</f>
        <v>IO</v>
      </c>
      <c r="D18" t="str">
        <f>Rohdaten[[#This Row],[Abteilungscode]]</f>
        <v>VERKAUF</v>
      </c>
      <c r="E18" t="str">
        <f>Rohdaten[[#This Row],[Abwesenheitsgrund]]</f>
        <v>Krank</v>
      </c>
      <c r="F18">
        <f>Rohdaten[[#This Row],[Gesamtabwesenheit]]</f>
        <v>1</v>
      </c>
    </row>
    <row r="19" spans="1:6" x14ac:dyDescent="0.3">
      <c r="A19">
        <v>18</v>
      </c>
      <c r="B19" s="3">
        <f>+WORKDAY.INTL(Rohdaten[[#This Row],[bis_Datum]],1,1,Feiertage[[Datum ]])</f>
        <v>44851</v>
      </c>
      <c r="C19" t="str">
        <f>Rohdaten[[#This Row],[Mitarbeiter_ID]]</f>
        <v>HZ</v>
      </c>
      <c r="D19" t="str">
        <f>Rohdaten[[#This Row],[Abteilungscode]]</f>
        <v>PROD</v>
      </c>
      <c r="E19" t="str">
        <f>Rohdaten[[#This Row],[Abwesenheitsgrund]]</f>
        <v>Urlaub</v>
      </c>
      <c r="F19">
        <f>Rohdaten[[#This Row],[Gesamtabwesenheit]]</f>
        <v>5</v>
      </c>
    </row>
    <row r="20" spans="1:6" x14ac:dyDescent="0.3">
      <c r="A20">
        <v>19</v>
      </c>
      <c r="B20" s="3">
        <f>+WORKDAY.INTL(Rohdaten[[#This Row],[bis_Datum]],1,1,Feiertage[[Datum ]])</f>
        <v>44851</v>
      </c>
      <c r="C20" s="55" t="str">
        <f>Rohdaten[[#This Row],[Mitarbeiter_ID]]</f>
        <v>IO</v>
      </c>
      <c r="D20" t="str">
        <f>Rohdaten[[#This Row],[Abteilungscode]]</f>
        <v>VERKAUF</v>
      </c>
      <c r="E20" t="str">
        <f>Rohdaten[[#This Row],[Abwesenheitsgrund]]</f>
        <v>Krank</v>
      </c>
      <c r="F20">
        <f>Rohdaten[[#This Row],[Gesamtabwesenheit]]</f>
        <v>2</v>
      </c>
    </row>
    <row r="21" spans="1:6" x14ac:dyDescent="0.3">
      <c r="A21">
        <v>20</v>
      </c>
      <c r="B21" s="3">
        <f>+WORKDAY.INTL(Rohdaten[[#This Row],[bis_Datum]],1,1,Feiertage[[Datum ]])</f>
        <v>44858</v>
      </c>
      <c r="C21" t="str">
        <f>Rohdaten[[#This Row],[Mitarbeiter_ID]]</f>
        <v>AH</v>
      </c>
      <c r="D21" t="str">
        <f>Rohdaten[[#This Row],[Abteilungscode]]</f>
        <v>VERW</v>
      </c>
      <c r="E21" t="str">
        <f>Rohdaten[[#This Row],[Abwesenheitsgrund]]</f>
        <v>Urlaub</v>
      </c>
      <c r="F21">
        <f>Rohdaten[[#This Row],[Gesamtabwesenheit]]</f>
        <v>5</v>
      </c>
    </row>
    <row r="22" spans="1:6" x14ac:dyDescent="0.3">
      <c r="A22">
        <v>21</v>
      </c>
      <c r="B22" s="3">
        <f>+WORKDAY.INTL(Rohdaten[[#This Row],[bis_Datum]],1,1,Feiertage[[Datum ]])</f>
        <v>44865</v>
      </c>
      <c r="C22" t="str">
        <f>Rohdaten[[#This Row],[Mitarbeiter_ID]]</f>
        <v>SB</v>
      </c>
      <c r="D22" t="str">
        <f>Rohdaten[[#This Row],[Abteilungscode]]</f>
        <v>PROD</v>
      </c>
      <c r="E22" t="str">
        <f>Rohdaten[[#This Row],[Abwesenheitsgrund]]</f>
        <v>Urlaub</v>
      </c>
      <c r="F22">
        <f>Rohdaten[[#This Row],[Gesamtabwesenheit]]</f>
        <v>10</v>
      </c>
    </row>
    <row r="23" spans="1:6" x14ac:dyDescent="0.3">
      <c r="A23">
        <v>22</v>
      </c>
      <c r="B23" s="3">
        <f>+WORKDAY.INTL(Rohdaten[[#This Row],[bis_Datum]],1,1,Feiertage[[Datum ]])</f>
        <v>44858</v>
      </c>
      <c r="C23" t="str">
        <f>Rohdaten[[#This Row],[Mitarbeiter_ID]]</f>
        <v>AD</v>
      </c>
      <c r="D23" t="str">
        <f>Rohdaten[[#This Row],[Abteilungscode]]</f>
        <v>VERKAUF</v>
      </c>
      <c r="E23" t="str">
        <f>Rohdaten[[#This Row],[Abwesenheitsgrund]]</f>
        <v>Krank</v>
      </c>
      <c r="F23">
        <f>Rohdaten[[#This Row],[Gesamtabwesenheit]]</f>
        <v>1</v>
      </c>
    </row>
    <row r="24" spans="1:6" x14ac:dyDescent="0.3">
      <c r="A24">
        <v>23</v>
      </c>
      <c r="B24" s="3">
        <f>+WORKDAY.INTL(Rohdaten[[#This Row],[bis_Datum]],1,1,Feiertage[[Datum ]])</f>
        <v>44865</v>
      </c>
      <c r="C24" t="str">
        <f>Rohdaten[[#This Row],[Mitarbeiter_ID]]</f>
        <v>BB</v>
      </c>
      <c r="D24" t="str">
        <f>Rohdaten[[#This Row],[Abteilungscode]]</f>
        <v>VERKAUF</v>
      </c>
      <c r="E24" t="str">
        <f>Rohdaten[[#This Row],[Abwesenheitsgrund]]</f>
        <v>Urlaub</v>
      </c>
      <c r="F24">
        <f>Rohdaten[[#This Row],[Gesamtabwesenheit]]</f>
        <v>5</v>
      </c>
    </row>
    <row r="25" spans="1:6" x14ac:dyDescent="0.3">
      <c r="A25">
        <v>24</v>
      </c>
      <c r="B25" s="3">
        <f>+WORKDAY.INTL(Rohdaten[[#This Row],[bis_Datum]],1,1,Feiertage[[Datum ]])</f>
        <v>44867</v>
      </c>
      <c r="C25" t="str">
        <f>Rohdaten[[#This Row],[Mitarbeiter_ID]]</f>
        <v>AH</v>
      </c>
      <c r="D25" t="str">
        <f>Rohdaten[[#This Row],[Abteilungscode]]</f>
        <v>VERW</v>
      </c>
      <c r="E25" t="str">
        <f>Rohdaten[[#This Row],[Abwesenheitsgrund]]</f>
        <v>Urlaub</v>
      </c>
      <c r="F25">
        <f>Rohdaten[[#This Row],[Gesamtabwesenheit]]</f>
        <v>5</v>
      </c>
    </row>
    <row r="26" spans="1:6" x14ac:dyDescent="0.3">
      <c r="A26">
        <v>25</v>
      </c>
      <c r="B26" s="3">
        <f>+WORKDAY.INTL(Rohdaten[[#This Row],[bis_Datum]],1,1,Feiertage[[Datum ]])</f>
        <v>44868</v>
      </c>
      <c r="C26" t="str">
        <f>Rohdaten[[#This Row],[Mitarbeiter_ID]]</f>
        <v>AD</v>
      </c>
      <c r="D26" t="str">
        <f>Rohdaten[[#This Row],[Abteilungscode]]</f>
        <v>VERKAUF</v>
      </c>
      <c r="E26" t="str">
        <f>Rohdaten[[#This Row],[Abwesenheitsgrund]]</f>
        <v>Krank</v>
      </c>
      <c r="F26">
        <f>Rohdaten[[#This Row],[Gesamtabwesenheit]]</f>
        <v>2</v>
      </c>
    </row>
    <row r="27" spans="1:6" x14ac:dyDescent="0.3">
      <c r="A27">
        <v>26</v>
      </c>
      <c r="B27" s="3">
        <f>+WORKDAY.INTL(Rohdaten[[#This Row],[bis_Datum]],1,1,Feiertage[[Datum ]])</f>
        <v>44874</v>
      </c>
      <c r="C27" t="str">
        <f>Rohdaten[[#This Row],[Mitarbeiter_ID]]</f>
        <v>AH</v>
      </c>
      <c r="D27" t="str">
        <f>Rohdaten[[#This Row],[Abteilungscode]]</f>
        <v>VERW</v>
      </c>
      <c r="E27" t="str">
        <f>Rohdaten[[#This Row],[Abwesenheitsgrund]]</f>
        <v>Krank</v>
      </c>
      <c r="F27">
        <f>Rohdaten[[#This Row],[Gesamtabwesenheit]]</f>
        <v>2</v>
      </c>
    </row>
    <row r="28" spans="1:6" x14ac:dyDescent="0.3">
      <c r="A28">
        <v>27</v>
      </c>
      <c r="B28" s="3">
        <f>+WORKDAY.INTL(Rohdaten[[#This Row],[bis_Datum]],1,1,Feiertage[[Datum ]])</f>
        <v>44873</v>
      </c>
      <c r="C28" t="str">
        <f>Rohdaten[[#This Row],[Mitarbeiter_ID]]</f>
        <v>YB</v>
      </c>
      <c r="D28" t="str">
        <f>Rohdaten[[#This Row],[Abteilungscode]]</f>
        <v>VERW</v>
      </c>
      <c r="E28" t="str">
        <f>Rohdaten[[#This Row],[Abwesenheitsgrund]]</f>
        <v>Krank</v>
      </c>
      <c r="F28">
        <f>Rohdaten[[#This Row],[Gesamtabwesenheit]]</f>
        <v>1</v>
      </c>
    </row>
    <row r="29" spans="1:6" x14ac:dyDescent="0.3">
      <c r="A29">
        <v>28</v>
      </c>
      <c r="B29" s="3">
        <f>+WORKDAY.INTL(Rohdaten[[#This Row],[bis_Datum]],1,1,Feiertage[[Datum ]])</f>
        <v>44876</v>
      </c>
      <c r="C29" s="55" t="str">
        <f>Rohdaten[[#This Row],[Mitarbeiter_ID]]</f>
        <v>CL</v>
      </c>
      <c r="D29" t="str">
        <f>Rohdaten[[#This Row],[Abteilungscode]]</f>
        <v>VERKAUF</v>
      </c>
      <c r="E29" t="str">
        <f>Rohdaten[[#This Row],[Abwesenheitsgrund]]</f>
        <v>Krank</v>
      </c>
      <c r="F29">
        <f>Rohdaten[[#This Row],[Gesamtabwesenheit]]</f>
        <v>4</v>
      </c>
    </row>
    <row r="30" spans="1:6" x14ac:dyDescent="0.3">
      <c r="A30">
        <v>29</v>
      </c>
      <c r="B30" s="3">
        <f>+WORKDAY.INTL(Rohdaten[[#This Row],[bis_Datum]],1,1,Feiertage[[Datum ]])</f>
        <v>44876</v>
      </c>
      <c r="C30" t="str">
        <f>Rohdaten[[#This Row],[Mitarbeiter_ID]]</f>
        <v>AO</v>
      </c>
      <c r="D30" t="str">
        <f>Rohdaten[[#This Row],[Abteilungscode]]</f>
        <v>PROD</v>
      </c>
      <c r="E30" t="str">
        <f>Rohdaten[[#This Row],[Abwesenheitsgrund]]</f>
        <v>Krank</v>
      </c>
      <c r="F30">
        <f>Rohdaten[[#This Row],[Gesamtabwesenheit]]</f>
        <v>3</v>
      </c>
    </row>
    <row r="31" spans="1:6" x14ac:dyDescent="0.3">
      <c r="A31">
        <v>30</v>
      </c>
      <c r="B31" s="3">
        <f>+WORKDAY.INTL(Rohdaten[[#This Row],[bis_Datum]],1,1,Feiertage[[Datum ]])</f>
        <v>44886</v>
      </c>
      <c r="C31" t="str">
        <f>Rohdaten[[#This Row],[Mitarbeiter_ID]]</f>
        <v>HZ</v>
      </c>
      <c r="D31" t="str">
        <f>Rohdaten[[#This Row],[Abteilungscode]]</f>
        <v>PROD</v>
      </c>
      <c r="E31" t="str">
        <f>Rohdaten[[#This Row],[Abwesenheitsgrund]]</f>
        <v>Krank</v>
      </c>
      <c r="F31">
        <f>Rohdaten[[#This Row],[Gesamtabwesenheit]]</f>
        <v>5</v>
      </c>
    </row>
    <row r="32" spans="1:6" x14ac:dyDescent="0.3">
      <c r="A32">
        <v>31</v>
      </c>
      <c r="B32" s="3">
        <f>+WORKDAY.INTL(Rohdaten[[#This Row],[bis_Datum]],1,1,Feiertage[[Datum ]])</f>
        <v>44882</v>
      </c>
      <c r="C32" t="str">
        <f>Rohdaten[[#This Row],[Mitarbeiter_ID]]</f>
        <v>SB</v>
      </c>
      <c r="D32" t="str">
        <f>Rohdaten[[#This Row],[Abteilungscode]]</f>
        <v>PROD</v>
      </c>
      <c r="E32" t="str">
        <f>Rohdaten[[#This Row],[Abwesenheitsgrund]]</f>
        <v>Krank</v>
      </c>
      <c r="F32">
        <f>Rohdaten[[#This Row],[Gesamtabwesenheit]]</f>
        <v>3</v>
      </c>
    </row>
    <row r="33" spans="1:6" x14ac:dyDescent="0.3">
      <c r="A33">
        <v>32</v>
      </c>
      <c r="B33" s="3">
        <f>+WORKDAY.INTL(Rohdaten[[#This Row],[bis_Datum]],1,1,Feiertage[[Datum ]])</f>
        <v>44887</v>
      </c>
      <c r="C33" s="55" t="str">
        <f>Rohdaten[[#This Row],[Mitarbeiter_ID]]</f>
        <v>JS</v>
      </c>
      <c r="D33" t="str">
        <f>Rohdaten[[#This Row],[Abteilungscode]]</f>
        <v>PROD</v>
      </c>
      <c r="E33" t="str">
        <f>Rohdaten[[#This Row],[Abwesenheitsgrund]]</f>
        <v>Urlaub</v>
      </c>
      <c r="F33">
        <f>Rohdaten[[#This Row],[Gesamtabwesenheit]]</f>
        <v>6</v>
      </c>
    </row>
    <row r="34" spans="1:6" x14ac:dyDescent="0.3">
      <c r="A34">
        <v>33</v>
      </c>
      <c r="B34" s="3">
        <f>+WORKDAY.INTL(Rohdaten[[#This Row],[bis_Datum]],1,1,Feiertage[[Datum ]])</f>
        <v>44894</v>
      </c>
      <c r="C34" s="55" t="str">
        <f>Rohdaten[[#This Row],[Mitarbeiter_ID]]</f>
        <v>IO</v>
      </c>
      <c r="D34" t="str">
        <f>Rohdaten[[#This Row],[Abteilungscode]]</f>
        <v>VERKAUF</v>
      </c>
      <c r="E34" t="str">
        <f>Rohdaten[[#This Row],[Abwesenheitsgrund]]</f>
        <v>Krank</v>
      </c>
      <c r="F34">
        <f>Rohdaten[[#This Row],[Gesamtabwesenheit]]</f>
        <v>7</v>
      </c>
    </row>
    <row r="35" spans="1:6" x14ac:dyDescent="0.3">
      <c r="A35">
        <v>34</v>
      </c>
      <c r="B35" s="3">
        <f>+WORKDAY.INTL(Rohdaten[[#This Row],[bis_Datum]],1,1,Feiertage[[Datum ]])</f>
        <v>44890</v>
      </c>
      <c r="C35" t="str">
        <f>Rohdaten[[#This Row],[Mitarbeiter_ID]]</f>
        <v>AD</v>
      </c>
      <c r="D35" t="str">
        <f>Rohdaten[[#This Row],[Abteilungscode]]</f>
        <v>VERKAUF</v>
      </c>
      <c r="E35" t="str">
        <f>Rohdaten[[#This Row],[Abwesenheitsgrund]]</f>
        <v>Krank</v>
      </c>
      <c r="F35">
        <f>Rohdaten[[#This Row],[Gesamtabwesenheit]]</f>
        <v>4</v>
      </c>
    </row>
    <row r="36" spans="1:6" x14ac:dyDescent="0.3">
      <c r="A36">
        <v>35</v>
      </c>
      <c r="B36" s="3">
        <f>+WORKDAY.INTL(Rohdaten[[#This Row],[bis_Datum]],1,1,Feiertage[[Datum ]])</f>
        <v>44893</v>
      </c>
      <c r="C36" s="55" t="str">
        <f>Rohdaten[[#This Row],[Mitarbeiter_ID]]</f>
        <v>AS</v>
      </c>
      <c r="D36" t="str">
        <f>Rohdaten[[#This Row],[Abteilungscode]]</f>
        <v>VERW</v>
      </c>
      <c r="E36" t="str">
        <f>Rohdaten[[#This Row],[Abwesenheitsgrund]]</f>
        <v>Urlaub</v>
      </c>
      <c r="F36">
        <f>Rohdaten[[#This Row],[Gesamtabwesenheit]]</f>
        <v>2</v>
      </c>
    </row>
    <row r="37" spans="1:6" x14ac:dyDescent="0.3">
      <c r="A37">
        <v>36</v>
      </c>
      <c r="B37" s="3">
        <f>+WORKDAY.INTL(Rohdaten[[#This Row],[bis_Datum]],1,1,Feiertage[[Datum ]])</f>
        <v>44897</v>
      </c>
      <c r="C37" t="str">
        <f>Rohdaten[[#This Row],[Mitarbeiter_ID]]</f>
        <v>AO</v>
      </c>
      <c r="D37" t="str">
        <f>Rohdaten[[#This Row],[Abteilungscode]]</f>
        <v>PROD</v>
      </c>
      <c r="E37" t="str">
        <f>Rohdaten[[#This Row],[Abwesenheitsgrund]]</f>
        <v>Urlaub</v>
      </c>
      <c r="F37">
        <f>Rohdaten[[#This Row],[Gesamtabwesenheit]]</f>
        <v>4</v>
      </c>
    </row>
    <row r="38" spans="1:6" x14ac:dyDescent="0.3">
      <c r="A38">
        <v>37</v>
      </c>
      <c r="B38" s="3">
        <f>+WORKDAY.INTL(Rohdaten[[#This Row],[bis_Datum]],1,1,Feiertage[[Datum ]])</f>
        <v>44907</v>
      </c>
      <c r="C38" s="55" t="str">
        <f>Rohdaten[[#This Row],[Mitarbeiter_ID]]</f>
        <v>AS</v>
      </c>
      <c r="D38" t="str">
        <f>Rohdaten[[#This Row],[Abteilungscode]]</f>
        <v>VERW</v>
      </c>
      <c r="E38" t="str">
        <f>Rohdaten[[#This Row],[Abwesenheitsgrund]]</f>
        <v>Krank</v>
      </c>
      <c r="F38">
        <f>Rohdaten[[#This Row],[Gesamtabwesenheit]]</f>
        <v>10</v>
      </c>
    </row>
    <row r="39" spans="1:6" x14ac:dyDescent="0.3">
      <c r="A39">
        <v>38</v>
      </c>
      <c r="B39" s="3">
        <f>+WORKDAY.INTL(Rohdaten[[#This Row],[bis_Datum]],1,1,Feiertage[[Datum ]])</f>
        <v>44900</v>
      </c>
      <c r="C39" t="str">
        <f>Rohdaten[[#This Row],[Mitarbeiter_ID]]</f>
        <v>AD</v>
      </c>
      <c r="D39" t="str">
        <f>Rohdaten[[#This Row],[Abteilungscode]]</f>
        <v>VERKAUF</v>
      </c>
      <c r="E39" t="str">
        <f>Rohdaten[[#This Row],[Abwesenheitsgrund]]</f>
        <v>Urlaub</v>
      </c>
      <c r="F39">
        <f>Rohdaten[[#This Row],[Gesamtabwesenheit]]</f>
        <v>5</v>
      </c>
    </row>
    <row r="40" spans="1:6" x14ac:dyDescent="0.3">
      <c r="A40">
        <v>39</v>
      </c>
      <c r="B40" s="3">
        <f>+WORKDAY.INTL(Rohdaten[[#This Row],[bis_Datum]],1,1,Feiertage[[Datum ]])</f>
        <v>44900</v>
      </c>
      <c r="C40" s="55" t="str">
        <f>Rohdaten[[#This Row],[Mitarbeiter_ID]]</f>
        <v>IO</v>
      </c>
      <c r="D40" t="str">
        <f>Rohdaten[[#This Row],[Abteilungscode]]</f>
        <v>VERKAUF</v>
      </c>
      <c r="E40" t="str">
        <f>Rohdaten[[#This Row],[Abwesenheitsgrund]]</f>
        <v>Urlaub</v>
      </c>
      <c r="F40">
        <f>Rohdaten[[#This Row],[Gesamtabwesenheit]]</f>
        <v>5</v>
      </c>
    </row>
    <row r="41" spans="1:6" x14ac:dyDescent="0.3">
      <c r="A41">
        <v>40</v>
      </c>
      <c r="B41" s="3">
        <f>+WORKDAY.INTL(Rohdaten[[#This Row],[bis_Datum]],1,1,Feiertage[[Datum ]])</f>
        <v>44897</v>
      </c>
      <c r="C41" t="str">
        <f>Rohdaten[[#This Row],[Mitarbeiter_ID]]</f>
        <v>SB</v>
      </c>
      <c r="D41" t="str">
        <f>Rohdaten[[#This Row],[Abteilungscode]]</f>
        <v>PROD</v>
      </c>
      <c r="E41" t="str">
        <f>Rohdaten[[#This Row],[Abwesenheitsgrund]]</f>
        <v>Krank</v>
      </c>
      <c r="F41">
        <f>Rohdaten[[#This Row],[Gesamtabwesenheit]]</f>
        <v>3</v>
      </c>
    </row>
    <row r="42" spans="1:6" x14ac:dyDescent="0.3">
      <c r="A42">
        <v>41</v>
      </c>
      <c r="B42" s="3">
        <f>+WORKDAY.INTL(Rohdaten[[#This Row],[bis_Datum]],1,1,Feiertage[[Datum ]])</f>
        <v>44900</v>
      </c>
      <c r="C42" t="str">
        <f>Rohdaten[[#This Row],[Mitarbeiter_ID]]</f>
        <v>AH</v>
      </c>
      <c r="D42" t="str">
        <f>Rohdaten[[#This Row],[Abteilungscode]]</f>
        <v>VERW</v>
      </c>
      <c r="E42" t="str">
        <f>Rohdaten[[#This Row],[Abwesenheitsgrund]]</f>
        <v>Krank</v>
      </c>
      <c r="F42">
        <f>Rohdaten[[#This Row],[Gesamtabwesenheit]]</f>
        <v>3</v>
      </c>
    </row>
    <row r="43" spans="1:6" x14ac:dyDescent="0.3">
      <c r="A43">
        <v>42</v>
      </c>
      <c r="B43" s="3">
        <f>+WORKDAY.INTL(Rohdaten[[#This Row],[bis_Datum]],1,1,Feiertage[[Datum ]])</f>
        <v>44900</v>
      </c>
      <c r="C43" t="str">
        <f>Rohdaten[[#This Row],[Mitarbeiter_ID]]</f>
        <v>HZ</v>
      </c>
      <c r="D43" t="str">
        <f>Rohdaten[[#This Row],[Abteilungscode]]</f>
        <v>PROD</v>
      </c>
      <c r="E43" t="str">
        <f>Rohdaten[[#This Row],[Abwesenheitsgrund]]</f>
        <v>Krank</v>
      </c>
      <c r="F43">
        <f>Rohdaten[[#This Row],[Gesamtabwesenheit]]</f>
        <v>3</v>
      </c>
    </row>
    <row r="44" spans="1:6" x14ac:dyDescent="0.3">
      <c r="A44">
        <v>43</v>
      </c>
      <c r="B44" s="3">
        <f>+WORKDAY.INTL(Rohdaten[[#This Row],[bis_Datum]],1,1,Feiertage[[Datum ]])</f>
        <v>44900</v>
      </c>
      <c r="C44" t="str">
        <f>Rohdaten[[#This Row],[Mitarbeiter_ID]]</f>
        <v>YB</v>
      </c>
      <c r="D44" t="str">
        <f>Rohdaten[[#This Row],[Abteilungscode]]</f>
        <v>VERW</v>
      </c>
      <c r="E44" t="str">
        <f>Rohdaten[[#This Row],[Abwesenheitsgrund]]</f>
        <v>Urlaub</v>
      </c>
      <c r="F44">
        <f>Rohdaten[[#This Row],[Gesamtabwesenheit]]</f>
        <v>2</v>
      </c>
    </row>
    <row r="45" spans="1:6" x14ac:dyDescent="0.3">
      <c r="A45">
        <v>44</v>
      </c>
      <c r="B45" s="3">
        <f>+WORKDAY.INTL(Rohdaten[[#This Row],[bis_Datum]],1,1,Feiertage[[Datum ]])</f>
        <v>44901</v>
      </c>
      <c r="C45" t="str">
        <f>Rohdaten[[#This Row],[Mitarbeiter_ID]]</f>
        <v>YB</v>
      </c>
      <c r="D45" t="str">
        <f>Rohdaten[[#This Row],[Abteilungscode]]</f>
        <v>VERW</v>
      </c>
      <c r="E45" t="str">
        <f>Rohdaten[[#This Row],[Abwesenheitsgrund]]</f>
        <v>Urlaub</v>
      </c>
      <c r="F45">
        <f>Rohdaten[[#This Row],[Gesamtabwesenheit]]</f>
        <v>3</v>
      </c>
    </row>
    <row r="46" spans="1:6" x14ac:dyDescent="0.3">
      <c r="A46">
        <v>45</v>
      </c>
      <c r="B46" s="3">
        <f>+WORKDAY.INTL(Rohdaten[[#This Row],[bis_Datum]],1,1,Feiertage[[Datum ]])</f>
        <v>44903</v>
      </c>
      <c r="C46" s="56" t="str">
        <f>Rohdaten[[#This Row],[Mitarbeiter_ID]]</f>
        <v>CL</v>
      </c>
      <c r="D46" t="str">
        <f>Rohdaten[[#This Row],[Abteilungscode]]</f>
        <v>VERKAUF</v>
      </c>
      <c r="E46" t="str">
        <f>Rohdaten[[#This Row],[Abwesenheitsgrund]]</f>
        <v>Urlaub</v>
      </c>
      <c r="F46">
        <f>Rohdaten[[#This Row],[Gesamtabwesenheit]]</f>
        <v>3</v>
      </c>
    </row>
    <row r="47" spans="1:6" x14ac:dyDescent="0.3">
      <c r="A47">
        <v>46</v>
      </c>
      <c r="B47" s="3">
        <f>+WORKDAY.INTL(Rohdaten[[#This Row],[bis_Datum]],1,1,Feiertage[[Datum ]])</f>
        <v>44916</v>
      </c>
      <c r="C47" s="3" t="str">
        <f>Rohdaten[[#This Row],[Mitarbeiter_ID]]</f>
        <v>AD</v>
      </c>
      <c r="D47" t="str">
        <f>Rohdaten[[#This Row],[Abteilungscode]]</f>
        <v>VERKAUF</v>
      </c>
      <c r="E47" t="str">
        <f>Rohdaten[[#This Row],[Abwesenheitsgrund]]</f>
        <v>Urlaub</v>
      </c>
      <c r="F47">
        <f>Rohdaten[[#This Row],[Gesamtabwesenheit]]</f>
        <v>11</v>
      </c>
    </row>
    <row r="48" spans="1:6" x14ac:dyDescent="0.3">
      <c r="A48">
        <v>47</v>
      </c>
      <c r="B48" s="3">
        <f>+WORKDAY.INTL(Rohdaten[[#This Row],[bis_Datum]],1,1,Feiertage[[Datum ]])</f>
        <v>44909</v>
      </c>
      <c r="C48" s="3" t="str">
        <f>Rohdaten[[#This Row],[Mitarbeiter_ID]]</f>
        <v>BB</v>
      </c>
      <c r="D48" t="str">
        <f>Rohdaten[[#This Row],[Abteilungscode]]</f>
        <v>VERKAUF</v>
      </c>
      <c r="E48" t="str">
        <f>Rohdaten[[#This Row],[Abwesenheitsgrund]]</f>
        <v>Krank</v>
      </c>
      <c r="F48">
        <f>Rohdaten[[#This Row],[Gesamtabwesenheit]]</f>
        <v>1</v>
      </c>
    </row>
    <row r="49" spans="1:6" x14ac:dyDescent="0.3">
      <c r="A49">
        <v>48</v>
      </c>
      <c r="B49" s="3">
        <f>+WORKDAY.INTL(Rohdaten[[#This Row],[bis_Datum]],1,1,Feiertage[[Datum ]])</f>
        <v>44932</v>
      </c>
      <c r="C49" s="56" t="str">
        <f>Rohdaten[[#This Row],[Mitarbeiter_ID]]</f>
        <v>JS</v>
      </c>
      <c r="D49" t="str">
        <f>Rohdaten[[#This Row],[Abteilungscode]]</f>
        <v>PROD</v>
      </c>
      <c r="E49" t="str">
        <f>Rohdaten[[#This Row],[Abwesenheitsgrund]]</f>
        <v>Krank</v>
      </c>
      <c r="F49">
        <f>Rohdaten[[#This Row],[Gesamtabwesenheit]]</f>
        <v>16</v>
      </c>
    </row>
    <row r="50" spans="1:6" x14ac:dyDescent="0.3">
      <c r="A50">
        <v>49</v>
      </c>
      <c r="B50" s="3">
        <f>+WORKDAY.INTL(Rohdaten[[#This Row],[bis_Datum]],1,1,Feiertage[[Datum ]])</f>
        <v>44922</v>
      </c>
      <c r="C50" s="56" t="str">
        <f>Rohdaten[[#This Row],[Mitarbeiter_ID]]</f>
        <v>IO</v>
      </c>
      <c r="D50" t="str">
        <f>Rohdaten[[#This Row],[Abteilungscode]]</f>
        <v>VERKAUF</v>
      </c>
      <c r="E50" t="str">
        <f>Rohdaten[[#This Row],[Abwesenheitsgrund]]</f>
        <v>Urlaub</v>
      </c>
      <c r="F50">
        <f>Rohdaten[[#This Row],[Gesamtabwesenheit]]</f>
        <v>5</v>
      </c>
    </row>
    <row r="51" spans="1:6" x14ac:dyDescent="0.3">
      <c r="A51">
        <v>50</v>
      </c>
      <c r="B51" s="3">
        <f>+WORKDAY.INTL(Rohdaten[[#This Row],[bis_Datum]],1,1,Feiertage[[Datum ]])</f>
        <v>44932</v>
      </c>
      <c r="C51" s="3" t="str">
        <f>Rohdaten[[#This Row],[Mitarbeiter_ID]]</f>
        <v>AO</v>
      </c>
      <c r="D51" t="str">
        <f>Rohdaten[[#This Row],[Abteilungscode]]</f>
        <v>PROD</v>
      </c>
      <c r="E51" t="str">
        <f>Rohdaten[[#This Row],[Abwesenheitsgrund]]</f>
        <v>Krank</v>
      </c>
      <c r="F51">
        <f>Rohdaten[[#This Row],[Gesamtabwesenheit]]</f>
        <v>12</v>
      </c>
    </row>
    <row r="52" spans="1:6" x14ac:dyDescent="0.3">
      <c r="A52">
        <v>51</v>
      </c>
      <c r="B52" s="3">
        <f>+WORKDAY.INTL(Rohdaten[[#This Row],[bis_Datum]],1,1,Feiertage[[Datum ]])</f>
        <v>44925</v>
      </c>
      <c r="C52" s="56" t="str">
        <f>Rohdaten[[#This Row],[Mitarbeiter_ID]]</f>
        <v>AS</v>
      </c>
      <c r="D52" t="str">
        <f>Rohdaten[[#This Row],[Abteilungscode]]</f>
        <v>VERW</v>
      </c>
      <c r="E52" t="str">
        <f>Rohdaten[[#This Row],[Abwesenheitsgrund]]</f>
        <v>Urlaub</v>
      </c>
      <c r="F52">
        <f>Rohdaten[[#This Row],[Gesamtabwesenheit]]</f>
        <v>5</v>
      </c>
    </row>
    <row r="53" spans="1:6" x14ac:dyDescent="0.3">
      <c r="A53">
        <v>52</v>
      </c>
      <c r="B53" s="3">
        <f>+WORKDAY.INTL(Rohdaten[[#This Row],[bis_Datum]],1,1,Feiertage[[Datum ]])</f>
        <v>44932</v>
      </c>
      <c r="C53" s="3" t="str">
        <f>Rohdaten[[#This Row],[Mitarbeiter_ID]]</f>
        <v>BB</v>
      </c>
      <c r="D53" t="str">
        <f>Rohdaten[[#This Row],[Abteilungscode]]</f>
        <v>VERKAUF</v>
      </c>
      <c r="E53" t="str">
        <f>Rohdaten[[#This Row],[Abwesenheitsgrund]]</f>
        <v>Krank</v>
      </c>
      <c r="F53">
        <f>Rohdaten[[#This Row],[Gesamtabwesenheit]]</f>
        <v>9</v>
      </c>
    </row>
    <row r="54" spans="1:6" x14ac:dyDescent="0.3">
      <c r="A54">
        <v>53</v>
      </c>
      <c r="B54" s="3">
        <f>+WORKDAY.INTL(Rohdaten[[#This Row],[bis_Datum]],1,1,Feiertage[[Datum ]])</f>
        <v>44928</v>
      </c>
      <c r="C54" s="56" t="str">
        <f>Rohdaten[[#This Row],[Mitarbeiter_ID]]</f>
        <v>IO</v>
      </c>
      <c r="D54" t="str">
        <f>Rohdaten[[#This Row],[Abteilungscode]]</f>
        <v>VERKAUF</v>
      </c>
      <c r="E54" t="str">
        <f>Rohdaten[[#This Row],[Abwesenheitsgrund]]</f>
        <v>Urlaub</v>
      </c>
      <c r="F54">
        <f>Rohdaten[[#This Row],[Gesamtabwesenheit]]</f>
        <v>4</v>
      </c>
    </row>
    <row r="55" spans="1:6" x14ac:dyDescent="0.3">
      <c r="A55">
        <v>54</v>
      </c>
      <c r="B55" s="3">
        <f>+WORKDAY.INTL(Rohdaten[[#This Row],[bis_Datum]],1,1,Feiertage[[Datum ]])</f>
        <v>44929</v>
      </c>
      <c r="C55" s="56" t="str">
        <f>Rohdaten[[#This Row],[Mitarbeiter_ID]]</f>
        <v>AS</v>
      </c>
      <c r="D55" t="str">
        <f>Rohdaten[[#This Row],[Abteilungscode]]</f>
        <v>VERW</v>
      </c>
      <c r="E55" t="str">
        <f>Rohdaten[[#This Row],[Abwesenheitsgrund]]</f>
        <v>Krank</v>
      </c>
      <c r="F55">
        <f>Rohdaten[[#This Row],[Gesamtabwesenheit]]</f>
        <v>4</v>
      </c>
    </row>
    <row r="56" spans="1:6" x14ac:dyDescent="0.3">
      <c r="A56">
        <v>55</v>
      </c>
      <c r="B56" s="3">
        <f>+WORKDAY.INTL(Rohdaten[[#This Row],[bis_Datum]],1,1,Feiertage[[Datum ]])</f>
        <v>44930</v>
      </c>
      <c r="C56" s="56" t="str">
        <f>Rohdaten[[#This Row],[Mitarbeiter_ID]]</f>
        <v>CL</v>
      </c>
      <c r="D56" t="str">
        <f>Rohdaten[[#This Row],[Abteilungscode]]</f>
        <v>VERKAUF</v>
      </c>
      <c r="E56" t="str">
        <f>Rohdaten[[#This Row],[Abwesenheitsgrund]]</f>
        <v>Krank</v>
      </c>
      <c r="F56">
        <f>Rohdaten[[#This Row],[Gesamtabwesenheit]]</f>
        <v>6</v>
      </c>
    </row>
    <row r="57" spans="1:6" x14ac:dyDescent="0.3">
      <c r="B57" s="3"/>
      <c r="C57" s="3"/>
    </row>
    <row r="58" spans="1:6" x14ac:dyDescent="0.3">
      <c r="B58" s="3"/>
      <c r="C58" s="3"/>
    </row>
    <row r="59" spans="1:6" x14ac:dyDescent="0.3">
      <c r="B59" s="3"/>
      <c r="C59" s="3"/>
    </row>
  </sheetData>
  <phoneticPr fontId="3" type="noConversion"/>
  <pageMargins left="0.7" right="0.7" top="0.78740157499999996" bottom="0.78740157499999996" header="0.3" footer="0.3"/>
  <pageSetup paperSize="9" orientation="portrait" r:id="rId1"/>
  <legacy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D3A66-FDC1-4680-B5D9-DBCA0BF28272}">
  <sheetPr>
    <tabColor rgb="FFC65911"/>
  </sheetPr>
  <dimension ref="A1:K56"/>
  <sheetViews>
    <sheetView topLeftCell="A45" zoomScaleNormal="100" workbookViewId="0">
      <selection activeCell="D1" sqref="D1"/>
    </sheetView>
  </sheetViews>
  <sheetFormatPr baseColWidth="10" defaultColWidth="11.44140625" defaultRowHeight="14.4" x14ac:dyDescent="0.3"/>
  <cols>
    <col min="2" max="2" width="11.109375" customWidth="1"/>
    <col min="3" max="3" width="14.6640625" customWidth="1"/>
    <col min="4" max="4" width="15.88671875" customWidth="1"/>
    <col min="5" max="5" width="16.44140625" customWidth="1"/>
    <col min="6" max="6" width="15.5546875" customWidth="1"/>
    <col min="7" max="7" width="19.44140625" customWidth="1"/>
    <col min="8" max="8" width="14.88671875" customWidth="1"/>
    <col min="9" max="9" width="25.5546875" customWidth="1"/>
    <col min="10" max="10" width="25.33203125" customWidth="1"/>
    <col min="11" max="11" width="30.109375" customWidth="1"/>
    <col min="12" max="12" width="11.109375" bestFit="1" customWidth="1"/>
  </cols>
  <sheetData>
    <row r="1" spans="1:11" x14ac:dyDescent="0.3">
      <c r="A1" s="95" t="s">
        <v>113</v>
      </c>
      <c r="B1" s="57" t="s">
        <v>114</v>
      </c>
      <c r="C1" s="96" t="s">
        <v>86</v>
      </c>
      <c r="D1" s="96" t="s">
        <v>87</v>
      </c>
      <c r="E1" s="96" t="s">
        <v>115</v>
      </c>
      <c r="F1" s="96" t="s">
        <v>38</v>
      </c>
      <c r="G1" s="96" t="s">
        <v>88</v>
      </c>
      <c r="H1" s="57" t="s">
        <v>116</v>
      </c>
      <c r="I1" t="s">
        <v>117</v>
      </c>
      <c r="J1" t="s">
        <v>118</v>
      </c>
      <c r="K1" t="s">
        <v>119</v>
      </c>
    </row>
    <row r="2" spans="1:11" x14ac:dyDescent="0.3">
      <c r="A2">
        <v>1</v>
      </c>
      <c r="B2" s="57"/>
      <c r="C2" s="3">
        <f>Rohdaten[[#This Row],[von_Datum]]</f>
        <v>44744</v>
      </c>
      <c r="D2" s="3">
        <f>Rohdaten[[#This Row],[bis_Datum]]</f>
        <v>44746</v>
      </c>
      <c r="E2" t="str">
        <f>Rohdaten[[#This Row],[Mitarbeiter_ID]]</f>
        <v>BB</v>
      </c>
      <c r="F2" t="str">
        <f>VLOOKUP(ASFT[[#This Row],[Mitarbeitercode]],DIM_Mitarbeiter[],4,FALSE)</f>
        <v>VERKAUF</v>
      </c>
      <c r="G2" t="str">
        <f>Rohdaten[[#This Row],[Abwesenheitsgrund]]</f>
        <v>Krank</v>
      </c>
      <c r="H2" s="57"/>
      <c r="I2">
        <f>NETWORKDAYS.INTL(ASFT[[#This Row],[von_Datum]],ASFT[[#This Row],[bis_Datum]],1,Feiertage[[Datum ]])</f>
        <v>1</v>
      </c>
      <c r="J2">
        <f>NETWORKDAYS.INTL(ASFT[[#This Row],[von_Datum]],ASFT[[#This Row],[bis_Datum]],"0111111",Feiertage[[Datum ]])</f>
        <v>1</v>
      </c>
      <c r="K2">
        <f>ASFT[[#This Row],[Dauer_Abwesenheit_Tage]]-ASFT[[#This Row],[Abwesenheiten_Montage]]</f>
        <v>0</v>
      </c>
    </row>
    <row r="3" spans="1:11" x14ac:dyDescent="0.3">
      <c r="A3">
        <v>2</v>
      </c>
      <c r="B3" s="57"/>
      <c r="C3" s="3">
        <f>Rohdaten[[#This Row],[von_Datum]]</f>
        <v>44745</v>
      </c>
      <c r="D3" s="3">
        <f>Rohdaten[[#This Row],[bis_Datum]]</f>
        <v>44746</v>
      </c>
      <c r="E3" t="str">
        <f>Rohdaten[[#This Row],[Mitarbeiter_ID]]</f>
        <v>AD</v>
      </c>
      <c r="F3" t="str">
        <f>VLOOKUP(ASFT[[#This Row],[Mitarbeitercode]],DIM_Mitarbeiter[],4,FALSE)</f>
        <v>VERKAUF</v>
      </c>
      <c r="G3" t="str">
        <f>Rohdaten[[#This Row],[Abwesenheitsgrund]]</f>
        <v>Krank</v>
      </c>
      <c r="H3" s="57"/>
      <c r="I3">
        <f>NETWORKDAYS.INTL(ASFT[[#This Row],[von_Datum]],ASFT[[#This Row],[bis_Datum]],1,Feiertage[[Datum ]])</f>
        <v>1</v>
      </c>
      <c r="J3">
        <f>NETWORKDAYS.INTL(ASFT[[#This Row],[von_Datum]],ASFT[[#This Row],[bis_Datum]],"0111111",Feiertage[[Datum ]])</f>
        <v>1</v>
      </c>
      <c r="K3">
        <f>ASFT[[#This Row],[Dauer_Abwesenheit_Tage]]-ASFT[[#This Row],[Abwesenheiten_Montage]]</f>
        <v>0</v>
      </c>
    </row>
    <row r="4" spans="1:11" x14ac:dyDescent="0.3">
      <c r="A4">
        <v>3</v>
      </c>
      <c r="B4" s="57"/>
      <c r="C4" s="3">
        <f>Rohdaten[[#This Row],[von_Datum]]</f>
        <v>44756</v>
      </c>
      <c r="D4" s="3">
        <f>Rohdaten[[#This Row],[bis_Datum]]</f>
        <v>44761</v>
      </c>
      <c r="E4" t="str">
        <f>Rohdaten[[#This Row],[Mitarbeiter_ID]]</f>
        <v>YB</v>
      </c>
      <c r="F4" t="str">
        <f>VLOOKUP(ASFT[[#This Row],[Mitarbeitercode]],DIM_Mitarbeiter[],4,FALSE)</f>
        <v>VERW</v>
      </c>
      <c r="G4" t="str">
        <f>Rohdaten[[#This Row],[Abwesenheitsgrund]]</f>
        <v>Krank</v>
      </c>
      <c r="H4" s="57"/>
      <c r="I4">
        <f>NETWORKDAYS.INTL(ASFT[[#This Row],[von_Datum]],ASFT[[#This Row],[bis_Datum]],1,Feiertage[[Datum ]])</f>
        <v>4</v>
      </c>
      <c r="J4">
        <f>NETWORKDAYS.INTL(ASFT[[#This Row],[von_Datum]],ASFT[[#This Row],[bis_Datum]],"0111111",Feiertage[[Datum ]])</f>
        <v>1</v>
      </c>
      <c r="K4">
        <f>ASFT[[#This Row],[Dauer_Abwesenheit_Tage]]-ASFT[[#This Row],[Abwesenheiten_Montage]]</f>
        <v>3</v>
      </c>
    </row>
    <row r="5" spans="1:11" x14ac:dyDescent="0.3">
      <c r="A5">
        <v>4</v>
      </c>
      <c r="B5" s="57"/>
      <c r="C5" s="3">
        <f>Rohdaten[[#This Row],[von_Datum]]</f>
        <v>44772</v>
      </c>
      <c r="D5" s="3">
        <f>Rohdaten[[#This Row],[bis_Datum]]</f>
        <v>44775</v>
      </c>
      <c r="E5" t="str">
        <f>Rohdaten[[#This Row],[Mitarbeiter_ID]]</f>
        <v>AH</v>
      </c>
      <c r="F5" t="str">
        <f>VLOOKUP(ASFT[[#This Row],[Mitarbeitercode]],DIM_Mitarbeiter[],4,FALSE)</f>
        <v>VERW</v>
      </c>
      <c r="G5" t="str">
        <f>Rohdaten[[#This Row],[Abwesenheitsgrund]]</f>
        <v>Krank</v>
      </c>
      <c r="H5" s="57"/>
      <c r="I5">
        <f>NETWORKDAYS.INTL(ASFT[[#This Row],[von_Datum]],ASFT[[#This Row],[bis_Datum]],1,Feiertage[[Datum ]])</f>
        <v>2</v>
      </c>
      <c r="J5">
        <f>NETWORKDAYS.INTL(ASFT[[#This Row],[von_Datum]],ASFT[[#This Row],[bis_Datum]],"0111111",Feiertage[[Datum ]])</f>
        <v>1</v>
      </c>
      <c r="K5">
        <f>ASFT[[#This Row],[Dauer_Abwesenheit_Tage]]-ASFT[[#This Row],[Abwesenheiten_Montage]]</f>
        <v>1</v>
      </c>
    </row>
    <row r="6" spans="1:11" x14ac:dyDescent="0.3">
      <c r="A6">
        <v>5</v>
      </c>
      <c r="B6" s="57"/>
      <c r="C6" s="3">
        <f>Rohdaten[[#This Row],[von_Datum]]</f>
        <v>44775</v>
      </c>
      <c r="D6" s="3">
        <f>Rohdaten[[#This Row],[bis_Datum]]</f>
        <v>44793</v>
      </c>
      <c r="E6" t="str">
        <f>Rohdaten[[#This Row],[Mitarbeiter_ID]]</f>
        <v>YB</v>
      </c>
      <c r="F6" t="str">
        <f>VLOOKUP(ASFT[[#This Row],[Mitarbeitercode]],DIM_Mitarbeiter[],4,FALSE)</f>
        <v>VERW</v>
      </c>
      <c r="G6" t="str">
        <f>Rohdaten[[#This Row],[Abwesenheitsgrund]]</f>
        <v>Urlaub</v>
      </c>
      <c r="H6" s="57"/>
      <c r="I6">
        <f>NETWORKDAYS.INTL(ASFT[[#This Row],[von_Datum]],ASFT[[#This Row],[bis_Datum]],1,Feiertage[[Datum ]])</f>
        <v>14</v>
      </c>
      <c r="J6">
        <f>NETWORKDAYS.INTL(ASFT[[#This Row],[von_Datum]],ASFT[[#This Row],[bis_Datum]],"0111111",Feiertage[[Datum ]])</f>
        <v>2</v>
      </c>
      <c r="K6">
        <f>ASFT[[#This Row],[Dauer_Abwesenheit_Tage]]-ASFT[[#This Row],[Abwesenheiten_Montage]]</f>
        <v>12</v>
      </c>
    </row>
    <row r="7" spans="1:11" x14ac:dyDescent="0.3">
      <c r="A7">
        <v>6</v>
      </c>
      <c r="B7" s="57"/>
      <c r="C7" s="3">
        <f>Rohdaten[[#This Row],[von_Datum]]</f>
        <v>44780</v>
      </c>
      <c r="D7" s="3">
        <f>Rohdaten[[#This Row],[bis_Datum]]</f>
        <v>44785</v>
      </c>
      <c r="E7" t="str">
        <f>Rohdaten[[#This Row],[Mitarbeiter_ID]]</f>
        <v>AH</v>
      </c>
      <c r="F7" t="str">
        <f>VLOOKUP(ASFT[[#This Row],[Mitarbeitercode]],DIM_Mitarbeiter[],4,FALSE)</f>
        <v>VERW</v>
      </c>
      <c r="G7" t="str">
        <f>Rohdaten[[#This Row],[Abwesenheitsgrund]]</f>
        <v>Krank</v>
      </c>
      <c r="H7" s="57"/>
      <c r="I7">
        <f>NETWORKDAYS.INTL(ASFT[[#This Row],[von_Datum]],ASFT[[#This Row],[bis_Datum]],1,Feiertage[[Datum ]])</f>
        <v>5</v>
      </c>
      <c r="J7">
        <f>NETWORKDAYS.INTL(ASFT[[#This Row],[von_Datum]],ASFT[[#This Row],[bis_Datum]],"0111111",Feiertage[[Datum ]])</f>
        <v>1</v>
      </c>
      <c r="K7">
        <f>ASFT[[#This Row],[Dauer_Abwesenheit_Tage]]-ASFT[[#This Row],[Abwesenheiten_Montage]]</f>
        <v>4</v>
      </c>
    </row>
    <row r="8" spans="1:11" x14ac:dyDescent="0.3">
      <c r="A8">
        <v>7</v>
      </c>
      <c r="B8" s="57"/>
      <c r="C8" s="3">
        <f>Rohdaten[[#This Row],[von_Datum]]</f>
        <v>44785</v>
      </c>
      <c r="D8" s="3">
        <f>Rohdaten[[#This Row],[bis_Datum]]</f>
        <v>44791</v>
      </c>
      <c r="E8" t="str">
        <f>Rohdaten[[#This Row],[Mitarbeiter_ID]]</f>
        <v>SB</v>
      </c>
      <c r="F8" t="str">
        <f>VLOOKUP(ASFT[[#This Row],[Mitarbeitercode]],DIM_Mitarbeiter[],4,FALSE)</f>
        <v>PROD</v>
      </c>
      <c r="G8" t="str">
        <f>Rohdaten[[#This Row],[Abwesenheitsgrund]]</f>
        <v>Krank</v>
      </c>
      <c r="H8" s="57"/>
      <c r="I8">
        <f>NETWORKDAYS.INTL(ASFT[[#This Row],[von_Datum]],ASFT[[#This Row],[bis_Datum]],1,Feiertage[[Datum ]])</f>
        <v>5</v>
      </c>
      <c r="J8">
        <f>NETWORKDAYS.INTL(ASFT[[#This Row],[von_Datum]],ASFT[[#This Row],[bis_Datum]],"0111111",Feiertage[[Datum ]])</f>
        <v>1</v>
      </c>
      <c r="K8">
        <f>ASFT[[#This Row],[Dauer_Abwesenheit_Tage]]-ASFT[[#This Row],[Abwesenheiten_Montage]]</f>
        <v>4</v>
      </c>
    </row>
    <row r="9" spans="1:11" x14ac:dyDescent="0.3">
      <c r="A9">
        <v>8</v>
      </c>
      <c r="B9" s="57"/>
      <c r="C9" s="3">
        <f>Rohdaten[[#This Row],[von_Datum]]</f>
        <v>44788</v>
      </c>
      <c r="D9" s="3">
        <f>Rohdaten[[#This Row],[bis_Datum]]</f>
        <v>44789</v>
      </c>
      <c r="E9" t="str">
        <f>Rohdaten[[#This Row],[Mitarbeiter_ID]]</f>
        <v>BB</v>
      </c>
      <c r="F9" t="str">
        <f>VLOOKUP(ASFT[[#This Row],[Mitarbeitercode]],DIM_Mitarbeiter[],4,FALSE)</f>
        <v>VERKAUF</v>
      </c>
      <c r="G9" t="str">
        <f>Rohdaten[[#This Row],[Abwesenheitsgrund]]</f>
        <v>Krank</v>
      </c>
      <c r="H9" s="57"/>
      <c r="I9">
        <f>NETWORKDAYS.INTL(ASFT[[#This Row],[von_Datum]],ASFT[[#This Row],[bis_Datum]],1,Feiertage[[Datum ]])</f>
        <v>2</v>
      </c>
      <c r="J9">
        <f>NETWORKDAYS.INTL(ASFT[[#This Row],[von_Datum]],ASFT[[#This Row],[bis_Datum]],"0111111",Feiertage[[Datum ]])</f>
        <v>1</v>
      </c>
      <c r="K9">
        <f>ASFT[[#This Row],[Dauer_Abwesenheit_Tage]]-ASFT[[#This Row],[Abwesenheiten_Montage]]</f>
        <v>1</v>
      </c>
    </row>
    <row r="10" spans="1:11" x14ac:dyDescent="0.3">
      <c r="A10">
        <v>9</v>
      </c>
      <c r="B10" s="57"/>
      <c r="C10" s="3">
        <f>Rohdaten[[#This Row],[von_Datum]]</f>
        <v>44790</v>
      </c>
      <c r="D10" s="3">
        <f>Rohdaten[[#This Row],[bis_Datum]]</f>
        <v>44790</v>
      </c>
      <c r="E10" t="str">
        <f>Rohdaten[[#This Row],[Mitarbeiter_ID]]</f>
        <v>AD</v>
      </c>
      <c r="F10" t="str">
        <f>VLOOKUP(ASFT[[#This Row],[Mitarbeitercode]],DIM_Mitarbeiter[],4,FALSE)</f>
        <v>VERKAUF</v>
      </c>
      <c r="G10" t="str">
        <f>Rohdaten[[#This Row],[Abwesenheitsgrund]]</f>
        <v>Krank</v>
      </c>
      <c r="H10" s="57"/>
      <c r="I10">
        <f>NETWORKDAYS.INTL(ASFT[[#This Row],[von_Datum]],ASFT[[#This Row],[bis_Datum]],1,Feiertage[[Datum ]])</f>
        <v>1</v>
      </c>
      <c r="J10">
        <f>NETWORKDAYS.INTL(ASFT[[#This Row],[von_Datum]],ASFT[[#This Row],[bis_Datum]],"0111111",Feiertage[[Datum ]])</f>
        <v>0</v>
      </c>
      <c r="K10">
        <f>ASFT[[#This Row],[Dauer_Abwesenheit_Tage]]-ASFT[[#This Row],[Abwesenheiten_Montage]]</f>
        <v>1</v>
      </c>
    </row>
    <row r="11" spans="1:11" x14ac:dyDescent="0.3">
      <c r="A11">
        <v>10</v>
      </c>
      <c r="B11" s="57"/>
      <c r="C11" s="3">
        <f>Rohdaten[[#This Row],[von_Datum]]</f>
        <v>44806</v>
      </c>
      <c r="D11" s="3">
        <f>Rohdaten[[#This Row],[bis_Datum]]</f>
        <v>44807</v>
      </c>
      <c r="E11" t="str">
        <f>Rohdaten[[#This Row],[Mitarbeiter_ID]]</f>
        <v>AD</v>
      </c>
      <c r="F11" t="str">
        <f>VLOOKUP(ASFT[[#This Row],[Mitarbeitercode]],DIM_Mitarbeiter[],4,FALSE)</f>
        <v>VERKAUF</v>
      </c>
      <c r="G11" t="str">
        <f>Rohdaten[[#This Row],[Abwesenheitsgrund]]</f>
        <v>Urlaub</v>
      </c>
      <c r="H11" s="57"/>
      <c r="I11">
        <f>NETWORKDAYS.INTL(ASFT[[#This Row],[von_Datum]],ASFT[[#This Row],[bis_Datum]],1,Feiertage[[Datum ]])</f>
        <v>1</v>
      </c>
      <c r="J11">
        <f>NETWORKDAYS.INTL(ASFT[[#This Row],[von_Datum]],ASFT[[#This Row],[bis_Datum]],"0111111",Feiertage[[Datum ]])</f>
        <v>0</v>
      </c>
      <c r="K11">
        <f>ASFT[[#This Row],[Dauer_Abwesenheit_Tage]]-ASFT[[#This Row],[Abwesenheiten_Montage]]</f>
        <v>1</v>
      </c>
    </row>
    <row r="12" spans="1:11" x14ac:dyDescent="0.3">
      <c r="A12">
        <v>11</v>
      </c>
      <c r="B12" s="57"/>
      <c r="C12" s="3">
        <f>Rohdaten[[#This Row],[von_Datum]]</f>
        <v>44807</v>
      </c>
      <c r="D12" s="3">
        <f>Rohdaten[[#This Row],[bis_Datum]]</f>
        <v>44811</v>
      </c>
      <c r="E12" t="str">
        <f>Rohdaten[[#This Row],[Mitarbeiter_ID]]</f>
        <v>HZ</v>
      </c>
      <c r="F12" t="str">
        <f>VLOOKUP(ASFT[[#This Row],[Mitarbeitercode]],DIM_Mitarbeiter[],4,FALSE)</f>
        <v>PROD</v>
      </c>
      <c r="G12" t="str">
        <f>Rohdaten[[#This Row],[Abwesenheitsgrund]]</f>
        <v>Krank</v>
      </c>
      <c r="H12" s="57"/>
      <c r="I12">
        <f>NETWORKDAYS.INTL(ASFT[[#This Row],[von_Datum]],ASFT[[#This Row],[bis_Datum]],1,Feiertage[[Datum ]])</f>
        <v>3</v>
      </c>
      <c r="J12">
        <f>NETWORKDAYS.INTL(ASFT[[#This Row],[von_Datum]],ASFT[[#This Row],[bis_Datum]],"0111111",Feiertage[[Datum ]])</f>
        <v>1</v>
      </c>
      <c r="K12">
        <f>ASFT[[#This Row],[Dauer_Abwesenheit_Tage]]-ASFT[[#This Row],[Abwesenheiten_Montage]]</f>
        <v>2</v>
      </c>
    </row>
    <row r="13" spans="1:11" x14ac:dyDescent="0.3">
      <c r="A13">
        <v>12</v>
      </c>
      <c r="B13" s="57"/>
      <c r="C13" s="3">
        <f>Rohdaten[[#This Row],[von_Datum]]</f>
        <v>44813</v>
      </c>
      <c r="D13" s="3">
        <f>Rohdaten[[#This Row],[bis_Datum]]</f>
        <v>44815</v>
      </c>
      <c r="E13" t="str">
        <f>Rohdaten[[#This Row],[Mitarbeiter_ID]]</f>
        <v>AH</v>
      </c>
      <c r="F13" t="str">
        <f>VLOOKUP(ASFT[[#This Row],[Mitarbeitercode]],DIM_Mitarbeiter[],4,FALSE)</f>
        <v>VERW</v>
      </c>
      <c r="G13" t="str">
        <f>Rohdaten[[#This Row],[Abwesenheitsgrund]]</f>
        <v>Urlaub</v>
      </c>
      <c r="H13" s="57"/>
      <c r="I13">
        <f>NETWORKDAYS.INTL(ASFT[[#This Row],[von_Datum]],ASFT[[#This Row],[bis_Datum]],1,Feiertage[[Datum ]])</f>
        <v>1</v>
      </c>
      <c r="J13">
        <f>NETWORKDAYS.INTL(ASFT[[#This Row],[von_Datum]],ASFT[[#This Row],[bis_Datum]],"0111111",Feiertage[[Datum ]])</f>
        <v>0</v>
      </c>
      <c r="K13">
        <f>ASFT[[#This Row],[Dauer_Abwesenheit_Tage]]-ASFT[[#This Row],[Abwesenheiten_Montage]]</f>
        <v>1</v>
      </c>
    </row>
    <row r="14" spans="1:11" x14ac:dyDescent="0.3">
      <c r="A14">
        <v>13</v>
      </c>
      <c r="B14" s="57"/>
      <c r="C14" s="3">
        <f>Rohdaten[[#This Row],[von_Datum]]</f>
        <v>44819</v>
      </c>
      <c r="D14" s="3">
        <f>Rohdaten[[#This Row],[bis_Datum]]</f>
        <v>44821</v>
      </c>
      <c r="E14" t="str">
        <f>Rohdaten[[#This Row],[Mitarbeiter_ID]]</f>
        <v>BB</v>
      </c>
      <c r="F14" t="str">
        <f>VLOOKUP(ASFT[[#This Row],[Mitarbeitercode]],DIM_Mitarbeiter[],4,FALSE)</f>
        <v>VERKAUF</v>
      </c>
      <c r="G14" t="str">
        <f>Rohdaten[[#This Row],[Abwesenheitsgrund]]</f>
        <v>Krank</v>
      </c>
      <c r="H14" s="57"/>
      <c r="I14">
        <f>NETWORKDAYS.INTL(ASFT[[#This Row],[von_Datum]],ASFT[[#This Row],[bis_Datum]],1,Feiertage[[Datum ]])</f>
        <v>2</v>
      </c>
      <c r="J14">
        <f>NETWORKDAYS.INTL(ASFT[[#This Row],[von_Datum]],ASFT[[#This Row],[bis_Datum]],"0111111",Feiertage[[Datum ]])</f>
        <v>0</v>
      </c>
      <c r="K14">
        <f>ASFT[[#This Row],[Dauer_Abwesenheit_Tage]]-ASFT[[#This Row],[Abwesenheiten_Montage]]</f>
        <v>2</v>
      </c>
    </row>
    <row r="15" spans="1:11" x14ac:dyDescent="0.3">
      <c r="A15">
        <v>14</v>
      </c>
      <c r="B15" s="57"/>
      <c r="C15" s="3">
        <f>Rohdaten[[#This Row],[von_Datum]]</f>
        <v>44827</v>
      </c>
      <c r="D15" s="3">
        <f>Rohdaten[[#This Row],[bis_Datum]]</f>
        <v>44827</v>
      </c>
      <c r="E15" t="str">
        <f>Rohdaten[[#This Row],[Mitarbeiter_ID]]</f>
        <v>BB</v>
      </c>
      <c r="F15" t="str">
        <f>VLOOKUP(ASFT[[#This Row],[Mitarbeitercode]],DIM_Mitarbeiter[],4,FALSE)</f>
        <v>VERKAUF</v>
      </c>
      <c r="G15" t="str">
        <f>Rohdaten[[#This Row],[Abwesenheitsgrund]]</f>
        <v>Urlaub</v>
      </c>
      <c r="H15" s="57"/>
      <c r="I15">
        <f>NETWORKDAYS.INTL(ASFT[[#This Row],[von_Datum]],ASFT[[#This Row],[bis_Datum]],1,Feiertage[[Datum ]])</f>
        <v>1</v>
      </c>
      <c r="J15">
        <f>NETWORKDAYS.INTL(ASFT[[#This Row],[von_Datum]],ASFT[[#This Row],[bis_Datum]],"0111111",Feiertage[[Datum ]])</f>
        <v>0</v>
      </c>
      <c r="K15">
        <f>ASFT[[#This Row],[Dauer_Abwesenheit_Tage]]-ASFT[[#This Row],[Abwesenheiten_Montage]]</f>
        <v>1</v>
      </c>
    </row>
    <row r="16" spans="1:11" x14ac:dyDescent="0.3">
      <c r="A16">
        <v>15</v>
      </c>
      <c r="B16" s="57"/>
      <c r="C16" s="3">
        <f>Rohdaten[[#This Row],[von_Datum]]</f>
        <v>44828</v>
      </c>
      <c r="D16" s="3">
        <f>Rohdaten[[#This Row],[bis_Datum]]</f>
        <v>44829</v>
      </c>
      <c r="E16" t="str">
        <f>Rohdaten[[#This Row],[Mitarbeiter_ID]]</f>
        <v>AD</v>
      </c>
      <c r="F16" t="str">
        <f>VLOOKUP(ASFT[[#This Row],[Mitarbeitercode]],DIM_Mitarbeiter[],4,FALSE)</f>
        <v>VERKAUF</v>
      </c>
      <c r="G16" t="str">
        <f>Rohdaten[[#This Row],[Abwesenheitsgrund]]</f>
        <v>Urlaub</v>
      </c>
      <c r="H16" s="57"/>
      <c r="I16">
        <f>NETWORKDAYS.INTL(ASFT[[#This Row],[von_Datum]],ASFT[[#This Row],[bis_Datum]],1,Feiertage[[Datum ]])</f>
        <v>0</v>
      </c>
      <c r="J16">
        <f>NETWORKDAYS.INTL(ASFT[[#This Row],[von_Datum]],ASFT[[#This Row],[bis_Datum]],"0111111",Feiertage[[Datum ]])</f>
        <v>0</v>
      </c>
      <c r="K16">
        <f>ASFT[[#This Row],[Dauer_Abwesenheit_Tage]]-ASFT[[#This Row],[Abwesenheiten_Montage]]</f>
        <v>0</v>
      </c>
    </row>
    <row r="17" spans="1:11" x14ac:dyDescent="0.3">
      <c r="A17">
        <v>16</v>
      </c>
      <c r="B17" s="57"/>
      <c r="C17" s="3">
        <f>Rohdaten[[#This Row],[von_Datum]]</f>
        <v>44837</v>
      </c>
      <c r="D17" s="3">
        <f>Rohdaten[[#This Row],[bis_Datum]]</f>
        <v>44841</v>
      </c>
      <c r="E17" t="str">
        <f>Rohdaten[[#This Row],[Mitarbeiter_ID]]</f>
        <v>YB</v>
      </c>
      <c r="F17" t="str">
        <f>VLOOKUP(ASFT[[#This Row],[Mitarbeitercode]],DIM_Mitarbeiter[],4,FALSE)</f>
        <v>VERW</v>
      </c>
      <c r="G17" t="str">
        <f>Rohdaten[[#This Row],[Abwesenheitsgrund]]</f>
        <v>Krank</v>
      </c>
      <c r="H17" s="57"/>
      <c r="I17">
        <f>NETWORKDAYS.INTL(ASFT[[#This Row],[von_Datum]],ASFT[[#This Row],[bis_Datum]],1,Feiertage[[Datum ]])</f>
        <v>4</v>
      </c>
      <c r="J17">
        <f>NETWORKDAYS.INTL(ASFT[[#This Row],[von_Datum]],ASFT[[#This Row],[bis_Datum]],"0111111",Feiertage[[Datum ]])</f>
        <v>0</v>
      </c>
      <c r="K17">
        <f>ASFT[[#This Row],[Dauer_Abwesenheit_Tage]]-ASFT[[#This Row],[Abwesenheiten_Montage]]</f>
        <v>4</v>
      </c>
    </row>
    <row r="18" spans="1:11" x14ac:dyDescent="0.3">
      <c r="A18">
        <v>17</v>
      </c>
      <c r="B18" s="57"/>
      <c r="C18" s="3">
        <f>Rohdaten[[#This Row],[von_Datum]]</f>
        <v>44841</v>
      </c>
      <c r="D18" s="3">
        <f>Rohdaten[[#This Row],[bis_Datum]]</f>
        <v>44843</v>
      </c>
      <c r="E18" t="str">
        <f>Rohdaten[[#This Row],[Mitarbeiter_ID]]</f>
        <v>IO</v>
      </c>
      <c r="F18" t="str">
        <f>VLOOKUP(ASFT[[#This Row],[Mitarbeitercode]],DIM_Mitarbeiter[],4,FALSE)</f>
        <v>VERKAUF</v>
      </c>
      <c r="G18" t="str">
        <f>Rohdaten[[#This Row],[Abwesenheitsgrund]]</f>
        <v>Krank</v>
      </c>
      <c r="H18" s="57"/>
      <c r="I18">
        <f>NETWORKDAYS.INTL(ASFT[[#This Row],[von_Datum]],ASFT[[#This Row],[bis_Datum]],1,Feiertage[[Datum ]])</f>
        <v>1</v>
      </c>
      <c r="J18">
        <f>NETWORKDAYS.INTL(ASFT[[#This Row],[von_Datum]],ASFT[[#This Row],[bis_Datum]],"0111111",Feiertage[[Datum ]])</f>
        <v>0</v>
      </c>
      <c r="K18">
        <f>ASFT[[#This Row],[Dauer_Abwesenheit_Tage]]-ASFT[[#This Row],[Abwesenheiten_Montage]]</f>
        <v>1</v>
      </c>
    </row>
    <row r="19" spans="1:11" x14ac:dyDescent="0.3">
      <c r="A19">
        <v>18</v>
      </c>
      <c r="B19" s="57"/>
      <c r="C19" s="3">
        <f>Rohdaten[[#This Row],[von_Datum]]</f>
        <v>44844</v>
      </c>
      <c r="D19" s="3">
        <f>Rohdaten[[#This Row],[bis_Datum]]</f>
        <v>44848</v>
      </c>
      <c r="E19" t="str">
        <f>Rohdaten[[#This Row],[Mitarbeiter_ID]]</f>
        <v>HZ</v>
      </c>
      <c r="F19" t="str">
        <f>VLOOKUP(ASFT[[#This Row],[Mitarbeitercode]],DIM_Mitarbeiter[],4,FALSE)</f>
        <v>PROD</v>
      </c>
      <c r="G19" t="str">
        <f>Rohdaten[[#This Row],[Abwesenheitsgrund]]</f>
        <v>Urlaub</v>
      </c>
      <c r="H19" s="57"/>
      <c r="I19">
        <f>NETWORKDAYS.INTL(ASFT[[#This Row],[von_Datum]],ASFT[[#This Row],[bis_Datum]],1,Feiertage[[Datum ]])</f>
        <v>5</v>
      </c>
      <c r="J19">
        <f>NETWORKDAYS.INTL(ASFT[[#This Row],[von_Datum]],ASFT[[#This Row],[bis_Datum]],"0111111",Feiertage[[Datum ]])</f>
        <v>1</v>
      </c>
      <c r="K19">
        <f>ASFT[[#This Row],[Dauer_Abwesenheit_Tage]]-ASFT[[#This Row],[Abwesenheiten_Montage]]</f>
        <v>4</v>
      </c>
    </row>
    <row r="20" spans="1:11" x14ac:dyDescent="0.3">
      <c r="A20">
        <v>19</v>
      </c>
      <c r="B20" s="57"/>
      <c r="C20" s="3">
        <f>Rohdaten[[#This Row],[von_Datum]]</f>
        <v>44847</v>
      </c>
      <c r="D20" s="3">
        <f>Rohdaten[[#This Row],[bis_Datum]]</f>
        <v>44849</v>
      </c>
      <c r="E20" t="str">
        <f>Rohdaten[[#This Row],[Mitarbeiter_ID]]</f>
        <v>IO</v>
      </c>
      <c r="F20" t="str">
        <f>VLOOKUP(ASFT[[#This Row],[Mitarbeitercode]],DIM_Mitarbeiter[],4,FALSE)</f>
        <v>VERKAUF</v>
      </c>
      <c r="G20" t="str">
        <f>Rohdaten[[#This Row],[Abwesenheitsgrund]]</f>
        <v>Krank</v>
      </c>
      <c r="H20" s="57"/>
      <c r="I20">
        <f>NETWORKDAYS.INTL(ASFT[[#This Row],[von_Datum]],ASFT[[#This Row],[bis_Datum]],1,Feiertage[[Datum ]])</f>
        <v>2</v>
      </c>
      <c r="J20">
        <f>NETWORKDAYS.INTL(ASFT[[#This Row],[von_Datum]],ASFT[[#This Row],[bis_Datum]],"0111111",Feiertage[[Datum ]])</f>
        <v>0</v>
      </c>
      <c r="K20">
        <f>ASFT[[#This Row],[Dauer_Abwesenheit_Tage]]-ASFT[[#This Row],[Abwesenheiten_Montage]]</f>
        <v>2</v>
      </c>
    </row>
    <row r="21" spans="1:11" x14ac:dyDescent="0.3">
      <c r="A21">
        <v>20</v>
      </c>
      <c r="B21" s="57"/>
      <c r="C21" s="3">
        <f>Rohdaten[[#This Row],[von_Datum]]</f>
        <v>44849</v>
      </c>
      <c r="D21" s="3">
        <f>Rohdaten[[#This Row],[bis_Datum]]</f>
        <v>44855</v>
      </c>
      <c r="E21" t="str">
        <f>Rohdaten[[#This Row],[Mitarbeiter_ID]]</f>
        <v>AH</v>
      </c>
      <c r="F21" t="str">
        <f>VLOOKUP(ASFT[[#This Row],[Mitarbeitercode]],DIM_Mitarbeiter[],4,FALSE)</f>
        <v>VERW</v>
      </c>
      <c r="G21" t="str">
        <f>Rohdaten[[#This Row],[Abwesenheitsgrund]]</f>
        <v>Urlaub</v>
      </c>
      <c r="H21" s="57"/>
      <c r="I21">
        <f>NETWORKDAYS.INTL(ASFT[[#This Row],[von_Datum]],ASFT[[#This Row],[bis_Datum]],1,Feiertage[[Datum ]])</f>
        <v>5</v>
      </c>
      <c r="J21">
        <f>NETWORKDAYS.INTL(ASFT[[#This Row],[von_Datum]],ASFT[[#This Row],[bis_Datum]],"0111111",Feiertage[[Datum ]])</f>
        <v>1</v>
      </c>
      <c r="K21">
        <f>ASFT[[#This Row],[Dauer_Abwesenheit_Tage]]-ASFT[[#This Row],[Abwesenheiten_Montage]]</f>
        <v>4</v>
      </c>
    </row>
    <row r="22" spans="1:11" x14ac:dyDescent="0.3">
      <c r="A22">
        <v>21</v>
      </c>
      <c r="B22" s="57"/>
      <c r="C22" s="3">
        <f>Rohdaten[[#This Row],[von_Datum]]</f>
        <v>44851</v>
      </c>
      <c r="D22" s="3">
        <f>Rohdaten[[#This Row],[bis_Datum]]</f>
        <v>44864</v>
      </c>
      <c r="E22" t="str">
        <f>Rohdaten[[#This Row],[Mitarbeiter_ID]]</f>
        <v>SB</v>
      </c>
      <c r="F22" t="str">
        <f>VLOOKUP(ASFT[[#This Row],[Mitarbeitercode]],DIM_Mitarbeiter[],4,FALSE)</f>
        <v>PROD</v>
      </c>
      <c r="G22" t="str">
        <f>Rohdaten[[#This Row],[Abwesenheitsgrund]]</f>
        <v>Urlaub</v>
      </c>
      <c r="H22" s="57"/>
      <c r="I22">
        <f>NETWORKDAYS.INTL(ASFT[[#This Row],[von_Datum]],ASFT[[#This Row],[bis_Datum]],1,Feiertage[[Datum ]])</f>
        <v>10</v>
      </c>
      <c r="J22">
        <f>NETWORKDAYS.INTL(ASFT[[#This Row],[von_Datum]],ASFT[[#This Row],[bis_Datum]],"0111111",Feiertage[[Datum ]])</f>
        <v>2</v>
      </c>
      <c r="K22">
        <f>ASFT[[#This Row],[Dauer_Abwesenheit_Tage]]-ASFT[[#This Row],[Abwesenheiten_Montage]]</f>
        <v>8</v>
      </c>
    </row>
    <row r="23" spans="1:11" x14ac:dyDescent="0.3">
      <c r="A23">
        <v>22</v>
      </c>
      <c r="B23" s="57"/>
      <c r="C23" s="3">
        <f>Rohdaten[[#This Row],[von_Datum]]</f>
        <v>44855</v>
      </c>
      <c r="D23" s="3">
        <f>Rohdaten[[#This Row],[bis_Datum]]</f>
        <v>44857</v>
      </c>
      <c r="E23" t="str">
        <f>Rohdaten[[#This Row],[Mitarbeiter_ID]]</f>
        <v>AD</v>
      </c>
      <c r="F23" t="str">
        <f>VLOOKUP(ASFT[[#This Row],[Mitarbeitercode]],DIM_Mitarbeiter[],4,FALSE)</f>
        <v>VERKAUF</v>
      </c>
      <c r="G23" t="str">
        <f>Rohdaten[[#This Row],[Abwesenheitsgrund]]</f>
        <v>Krank</v>
      </c>
      <c r="H23" s="57"/>
      <c r="I23">
        <f>NETWORKDAYS.INTL(ASFT[[#This Row],[von_Datum]],ASFT[[#This Row],[bis_Datum]],1,Feiertage[[Datum ]])</f>
        <v>1</v>
      </c>
      <c r="J23">
        <f>NETWORKDAYS.INTL(ASFT[[#This Row],[von_Datum]],ASFT[[#This Row],[bis_Datum]],"0111111",Feiertage[[Datum ]])</f>
        <v>0</v>
      </c>
      <c r="K23">
        <f>ASFT[[#This Row],[Dauer_Abwesenheit_Tage]]-ASFT[[#This Row],[Abwesenheiten_Montage]]</f>
        <v>1</v>
      </c>
    </row>
    <row r="24" spans="1:11" x14ac:dyDescent="0.3">
      <c r="A24">
        <v>23</v>
      </c>
      <c r="B24" s="57"/>
      <c r="C24" s="3">
        <f>Rohdaten[[#This Row],[von_Datum]]</f>
        <v>44857</v>
      </c>
      <c r="D24" s="3">
        <f>Rohdaten[[#This Row],[bis_Datum]]</f>
        <v>44862</v>
      </c>
      <c r="E24" t="str">
        <f>Rohdaten[[#This Row],[Mitarbeiter_ID]]</f>
        <v>BB</v>
      </c>
      <c r="F24" t="str">
        <f>VLOOKUP(ASFT[[#This Row],[Mitarbeitercode]],DIM_Mitarbeiter[],4,FALSE)</f>
        <v>VERKAUF</v>
      </c>
      <c r="G24" t="str">
        <f>Rohdaten[[#This Row],[Abwesenheitsgrund]]</f>
        <v>Urlaub</v>
      </c>
      <c r="H24" s="57"/>
      <c r="I24">
        <f>NETWORKDAYS.INTL(ASFT[[#This Row],[von_Datum]],ASFT[[#This Row],[bis_Datum]],1,Feiertage[[Datum ]])</f>
        <v>5</v>
      </c>
      <c r="J24">
        <f>NETWORKDAYS.INTL(ASFT[[#This Row],[von_Datum]],ASFT[[#This Row],[bis_Datum]],"0111111",Feiertage[[Datum ]])</f>
        <v>1</v>
      </c>
      <c r="K24">
        <f>ASFT[[#This Row],[Dauer_Abwesenheit_Tage]]-ASFT[[#This Row],[Abwesenheiten_Montage]]</f>
        <v>4</v>
      </c>
    </row>
    <row r="25" spans="1:11" x14ac:dyDescent="0.3">
      <c r="A25">
        <v>24</v>
      </c>
      <c r="B25" s="57"/>
      <c r="C25" s="3">
        <f>Rohdaten[[#This Row],[von_Datum]]</f>
        <v>44859</v>
      </c>
      <c r="D25" s="3">
        <f>Rohdaten[[#This Row],[bis_Datum]]</f>
        <v>44866</v>
      </c>
      <c r="E25" t="str">
        <f>Rohdaten[[#This Row],[Mitarbeiter_ID]]</f>
        <v>AH</v>
      </c>
      <c r="F25" t="str">
        <f>VLOOKUP(ASFT[[#This Row],[Mitarbeitercode]],DIM_Mitarbeiter[],4,FALSE)</f>
        <v>VERW</v>
      </c>
      <c r="G25" t="str">
        <f>Rohdaten[[#This Row],[Abwesenheitsgrund]]</f>
        <v>Urlaub</v>
      </c>
      <c r="H25" s="57"/>
      <c r="I25">
        <f>NETWORKDAYS.INTL(ASFT[[#This Row],[von_Datum]],ASFT[[#This Row],[bis_Datum]],1,Feiertage[[Datum ]])</f>
        <v>5</v>
      </c>
      <c r="J25">
        <f>NETWORKDAYS.INTL(ASFT[[#This Row],[von_Datum]],ASFT[[#This Row],[bis_Datum]],"0111111",Feiertage[[Datum ]])</f>
        <v>1</v>
      </c>
      <c r="K25">
        <f>ASFT[[#This Row],[Dauer_Abwesenheit_Tage]]-ASFT[[#This Row],[Abwesenheiten_Montage]]</f>
        <v>4</v>
      </c>
    </row>
    <row r="26" spans="1:11" x14ac:dyDescent="0.3">
      <c r="A26">
        <v>25</v>
      </c>
      <c r="B26" s="57"/>
      <c r="C26" s="3">
        <f>Rohdaten[[#This Row],[von_Datum]]</f>
        <v>44864</v>
      </c>
      <c r="D26" s="3">
        <f>Rohdaten[[#This Row],[bis_Datum]]</f>
        <v>44867</v>
      </c>
      <c r="E26" t="str">
        <f>Rohdaten[[#This Row],[Mitarbeiter_ID]]</f>
        <v>AD</v>
      </c>
      <c r="F26" t="str">
        <f>VLOOKUP(ASFT[[#This Row],[Mitarbeitercode]],DIM_Mitarbeiter[],4,FALSE)</f>
        <v>VERKAUF</v>
      </c>
      <c r="G26" t="str">
        <f>Rohdaten[[#This Row],[Abwesenheitsgrund]]</f>
        <v>Krank</v>
      </c>
      <c r="H26" s="57"/>
      <c r="I26">
        <f>NETWORKDAYS.INTL(ASFT[[#This Row],[von_Datum]],ASFT[[#This Row],[bis_Datum]],1,Feiertage[[Datum ]])</f>
        <v>2</v>
      </c>
      <c r="J26">
        <f>NETWORKDAYS.INTL(ASFT[[#This Row],[von_Datum]],ASFT[[#This Row],[bis_Datum]],"0111111",Feiertage[[Datum ]])</f>
        <v>1</v>
      </c>
      <c r="K26">
        <f>ASFT[[#This Row],[Dauer_Abwesenheit_Tage]]-ASFT[[#This Row],[Abwesenheiten_Montage]]</f>
        <v>1</v>
      </c>
    </row>
    <row r="27" spans="1:11" x14ac:dyDescent="0.3">
      <c r="A27">
        <v>26</v>
      </c>
      <c r="B27" s="57"/>
      <c r="C27" s="3">
        <f>Rohdaten[[#This Row],[von_Datum]]</f>
        <v>44870</v>
      </c>
      <c r="D27" s="3">
        <f>Rohdaten[[#This Row],[bis_Datum]]</f>
        <v>44873</v>
      </c>
      <c r="E27" t="str">
        <f>Rohdaten[[#This Row],[Mitarbeiter_ID]]</f>
        <v>AH</v>
      </c>
      <c r="F27" t="str">
        <f>VLOOKUP(ASFT[[#This Row],[Mitarbeitercode]],DIM_Mitarbeiter[],4,FALSE)</f>
        <v>VERW</v>
      </c>
      <c r="G27" t="str">
        <f>Rohdaten[[#This Row],[Abwesenheitsgrund]]</f>
        <v>Krank</v>
      </c>
      <c r="H27" s="57"/>
      <c r="I27">
        <f>NETWORKDAYS.INTL(ASFT[[#This Row],[von_Datum]],ASFT[[#This Row],[bis_Datum]],1,Feiertage[[Datum ]])</f>
        <v>2</v>
      </c>
      <c r="J27">
        <f>NETWORKDAYS.INTL(ASFT[[#This Row],[von_Datum]],ASFT[[#This Row],[bis_Datum]],"0111111",Feiertage[[Datum ]])</f>
        <v>1</v>
      </c>
      <c r="K27">
        <f>ASFT[[#This Row],[Dauer_Abwesenheit_Tage]]-ASFT[[#This Row],[Abwesenheiten_Montage]]</f>
        <v>1</v>
      </c>
    </row>
    <row r="28" spans="1:11" x14ac:dyDescent="0.3">
      <c r="A28">
        <v>27</v>
      </c>
      <c r="B28" s="57"/>
      <c r="C28" s="3">
        <f>Rohdaten[[#This Row],[von_Datum]]</f>
        <v>44870</v>
      </c>
      <c r="D28" s="3">
        <f>Rohdaten[[#This Row],[bis_Datum]]</f>
        <v>44872</v>
      </c>
      <c r="E28" t="str">
        <f>Rohdaten[[#This Row],[Mitarbeiter_ID]]</f>
        <v>YB</v>
      </c>
      <c r="F28" t="str">
        <f>VLOOKUP(ASFT[[#This Row],[Mitarbeitercode]],DIM_Mitarbeiter[],4,FALSE)</f>
        <v>VERW</v>
      </c>
      <c r="G28" t="str">
        <f>Rohdaten[[#This Row],[Abwesenheitsgrund]]</f>
        <v>Krank</v>
      </c>
      <c r="H28" s="57"/>
      <c r="I28">
        <f>NETWORKDAYS.INTL(ASFT[[#This Row],[von_Datum]],ASFT[[#This Row],[bis_Datum]],1,Feiertage[[Datum ]])</f>
        <v>1</v>
      </c>
      <c r="J28">
        <f>NETWORKDAYS.INTL(ASFT[[#This Row],[von_Datum]],ASFT[[#This Row],[bis_Datum]],"0111111",Feiertage[[Datum ]])</f>
        <v>1</v>
      </c>
      <c r="K28">
        <f>ASFT[[#This Row],[Dauer_Abwesenheit_Tage]]-ASFT[[#This Row],[Abwesenheiten_Montage]]</f>
        <v>0</v>
      </c>
    </row>
    <row r="29" spans="1:11" x14ac:dyDescent="0.3">
      <c r="A29">
        <v>28</v>
      </c>
      <c r="B29" s="57"/>
      <c r="C29" s="3">
        <f>Rohdaten[[#This Row],[von_Datum]]</f>
        <v>44872</v>
      </c>
      <c r="D29" s="3">
        <f>Rohdaten[[#This Row],[bis_Datum]]</f>
        <v>44875</v>
      </c>
      <c r="E29" t="str">
        <f>Rohdaten[[#This Row],[Mitarbeiter_ID]]</f>
        <v>CL</v>
      </c>
      <c r="F29" t="str">
        <f>VLOOKUP(ASFT[[#This Row],[Mitarbeitercode]],DIM_Mitarbeiter[],4,FALSE)</f>
        <v>VERKAUF</v>
      </c>
      <c r="G29" t="str">
        <f>Rohdaten[[#This Row],[Abwesenheitsgrund]]</f>
        <v>Krank</v>
      </c>
      <c r="H29" s="57"/>
      <c r="I29">
        <f>NETWORKDAYS.INTL(ASFT[[#This Row],[von_Datum]],ASFT[[#This Row],[bis_Datum]],1,Feiertage[[Datum ]])</f>
        <v>4</v>
      </c>
      <c r="J29">
        <f>NETWORKDAYS.INTL(ASFT[[#This Row],[von_Datum]],ASFT[[#This Row],[bis_Datum]],"0111111",Feiertage[[Datum ]])</f>
        <v>1</v>
      </c>
      <c r="K29">
        <f>ASFT[[#This Row],[Dauer_Abwesenheit_Tage]]-ASFT[[#This Row],[Abwesenheiten_Montage]]</f>
        <v>3</v>
      </c>
    </row>
    <row r="30" spans="1:11" x14ac:dyDescent="0.3">
      <c r="A30">
        <v>29</v>
      </c>
      <c r="B30" s="57"/>
      <c r="C30" s="3">
        <f>Rohdaten[[#This Row],[von_Datum]]</f>
        <v>44873</v>
      </c>
      <c r="D30" s="3">
        <f>Rohdaten[[#This Row],[bis_Datum]]</f>
        <v>44875</v>
      </c>
      <c r="E30" t="str">
        <f>Rohdaten[[#This Row],[Mitarbeiter_ID]]</f>
        <v>AO</v>
      </c>
      <c r="F30" t="str">
        <f>VLOOKUP(ASFT[[#This Row],[Mitarbeitercode]],DIM_Mitarbeiter[],4,FALSE)</f>
        <v>PROD</v>
      </c>
      <c r="G30" t="str">
        <f>Rohdaten[[#This Row],[Abwesenheitsgrund]]</f>
        <v>Krank</v>
      </c>
      <c r="H30" s="57"/>
      <c r="I30">
        <f>NETWORKDAYS.INTL(ASFT[[#This Row],[von_Datum]],ASFT[[#This Row],[bis_Datum]],1,Feiertage[[Datum ]])</f>
        <v>3</v>
      </c>
      <c r="J30">
        <f>NETWORKDAYS.INTL(ASFT[[#This Row],[von_Datum]],ASFT[[#This Row],[bis_Datum]],"0111111",Feiertage[[Datum ]])</f>
        <v>0</v>
      </c>
      <c r="K30">
        <f>ASFT[[#This Row],[Dauer_Abwesenheit_Tage]]-ASFT[[#This Row],[Abwesenheiten_Montage]]</f>
        <v>3</v>
      </c>
    </row>
    <row r="31" spans="1:11" x14ac:dyDescent="0.3">
      <c r="A31">
        <v>30</v>
      </c>
      <c r="B31" s="57"/>
      <c r="C31" s="3">
        <f>Rohdaten[[#This Row],[von_Datum]]</f>
        <v>44877</v>
      </c>
      <c r="D31" s="3">
        <f>Rohdaten[[#This Row],[bis_Datum]]</f>
        <v>44885</v>
      </c>
      <c r="E31" t="str">
        <f>Rohdaten[[#This Row],[Mitarbeiter_ID]]</f>
        <v>HZ</v>
      </c>
      <c r="F31" t="str">
        <f>VLOOKUP(ASFT[[#This Row],[Mitarbeitercode]],DIM_Mitarbeiter[],4,FALSE)</f>
        <v>PROD</v>
      </c>
      <c r="G31" t="str">
        <f>Rohdaten[[#This Row],[Abwesenheitsgrund]]</f>
        <v>Krank</v>
      </c>
      <c r="H31" s="57"/>
      <c r="I31">
        <f>NETWORKDAYS.INTL(ASFT[[#This Row],[von_Datum]],ASFT[[#This Row],[bis_Datum]],1,Feiertage[[Datum ]])</f>
        <v>5</v>
      </c>
      <c r="J31">
        <f>NETWORKDAYS.INTL(ASFT[[#This Row],[von_Datum]],ASFT[[#This Row],[bis_Datum]],"0111111",Feiertage[[Datum ]])</f>
        <v>1</v>
      </c>
      <c r="K31">
        <f>ASFT[[#This Row],[Dauer_Abwesenheit_Tage]]-ASFT[[#This Row],[Abwesenheiten_Montage]]</f>
        <v>4</v>
      </c>
    </row>
    <row r="32" spans="1:11" x14ac:dyDescent="0.3">
      <c r="A32">
        <v>31</v>
      </c>
      <c r="B32" s="57"/>
      <c r="C32" s="3">
        <f>Rohdaten[[#This Row],[von_Datum]]</f>
        <v>44878</v>
      </c>
      <c r="D32" s="3">
        <f>Rohdaten[[#This Row],[bis_Datum]]</f>
        <v>44881</v>
      </c>
      <c r="E32" t="str">
        <f>Rohdaten[[#This Row],[Mitarbeiter_ID]]</f>
        <v>SB</v>
      </c>
      <c r="F32" t="str">
        <f>VLOOKUP(ASFT[[#This Row],[Mitarbeitercode]],DIM_Mitarbeiter[],4,FALSE)</f>
        <v>PROD</v>
      </c>
      <c r="G32" t="str">
        <f>Rohdaten[[#This Row],[Abwesenheitsgrund]]</f>
        <v>Krank</v>
      </c>
      <c r="H32" s="57"/>
      <c r="I32">
        <f>NETWORKDAYS.INTL(ASFT[[#This Row],[von_Datum]],ASFT[[#This Row],[bis_Datum]],1,Feiertage[[Datum ]])</f>
        <v>3</v>
      </c>
      <c r="J32">
        <f>NETWORKDAYS.INTL(ASFT[[#This Row],[von_Datum]],ASFT[[#This Row],[bis_Datum]],"0111111",Feiertage[[Datum ]])</f>
        <v>1</v>
      </c>
      <c r="K32">
        <f>ASFT[[#This Row],[Dauer_Abwesenheit_Tage]]-ASFT[[#This Row],[Abwesenheiten_Montage]]</f>
        <v>2</v>
      </c>
    </row>
    <row r="33" spans="1:11" x14ac:dyDescent="0.3">
      <c r="A33">
        <v>32</v>
      </c>
      <c r="B33" s="57"/>
      <c r="C33" s="3">
        <f>Rohdaten[[#This Row],[von_Datum]]</f>
        <v>44879</v>
      </c>
      <c r="D33" s="3">
        <f>Rohdaten[[#This Row],[bis_Datum]]</f>
        <v>44886</v>
      </c>
      <c r="E33" t="str">
        <f>Rohdaten[[#This Row],[Mitarbeiter_ID]]</f>
        <v>JS</v>
      </c>
      <c r="F33" t="str">
        <f>VLOOKUP(ASFT[[#This Row],[Mitarbeitercode]],DIM_Mitarbeiter[],4,FALSE)</f>
        <v>PROD</v>
      </c>
      <c r="G33" t="str">
        <f>Rohdaten[[#This Row],[Abwesenheitsgrund]]</f>
        <v>Urlaub</v>
      </c>
      <c r="H33" s="57"/>
      <c r="I33">
        <f>NETWORKDAYS.INTL(ASFT[[#This Row],[von_Datum]],ASFT[[#This Row],[bis_Datum]],1,Feiertage[[Datum ]])</f>
        <v>6</v>
      </c>
      <c r="J33">
        <f>NETWORKDAYS.INTL(ASFT[[#This Row],[von_Datum]],ASFT[[#This Row],[bis_Datum]],"0111111",Feiertage[[Datum ]])</f>
        <v>2</v>
      </c>
      <c r="K33">
        <f>ASFT[[#This Row],[Dauer_Abwesenheit_Tage]]-ASFT[[#This Row],[Abwesenheiten_Montage]]</f>
        <v>4</v>
      </c>
    </row>
    <row r="34" spans="1:11" x14ac:dyDescent="0.3">
      <c r="A34">
        <v>33</v>
      </c>
      <c r="B34" s="57"/>
      <c r="C34" s="3">
        <f>Rohdaten[[#This Row],[von_Datum]]</f>
        <v>44883</v>
      </c>
      <c r="D34" s="3">
        <f>Rohdaten[[#This Row],[bis_Datum]]</f>
        <v>44893</v>
      </c>
      <c r="E34" t="str">
        <f>Rohdaten[[#This Row],[Mitarbeiter_ID]]</f>
        <v>IO</v>
      </c>
      <c r="F34" t="str">
        <f>VLOOKUP(ASFT[[#This Row],[Mitarbeitercode]],DIM_Mitarbeiter[],4,FALSE)</f>
        <v>VERKAUF</v>
      </c>
      <c r="G34" t="str">
        <f>Rohdaten[[#This Row],[Abwesenheitsgrund]]</f>
        <v>Krank</v>
      </c>
      <c r="H34" s="57"/>
      <c r="I34">
        <f>NETWORKDAYS.INTL(ASFT[[#This Row],[von_Datum]],ASFT[[#This Row],[bis_Datum]],1,Feiertage[[Datum ]])</f>
        <v>7</v>
      </c>
      <c r="J34">
        <f>NETWORKDAYS.INTL(ASFT[[#This Row],[von_Datum]],ASFT[[#This Row],[bis_Datum]],"0111111",Feiertage[[Datum ]])</f>
        <v>2</v>
      </c>
      <c r="K34">
        <f>ASFT[[#This Row],[Dauer_Abwesenheit_Tage]]-ASFT[[#This Row],[Abwesenheiten_Montage]]</f>
        <v>5</v>
      </c>
    </row>
    <row r="35" spans="1:11" x14ac:dyDescent="0.3">
      <c r="A35">
        <v>34</v>
      </c>
      <c r="B35" s="57"/>
      <c r="C35" s="3">
        <f>Rohdaten[[#This Row],[von_Datum]]</f>
        <v>44885</v>
      </c>
      <c r="D35" s="3">
        <f>Rohdaten[[#This Row],[bis_Datum]]</f>
        <v>44889</v>
      </c>
      <c r="E35" t="str">
        <f>Rohdaten[[#This Row],[Mitarbeiter_ID]]</f>
        <v>AD</v>
      </c>
      <c r="F35" t="str">
        <f>VLOOKUP(ASFT[[#This Row],[Mitarbeitercode]],DIM_Mitarbeiter[],4,FALSE)</f>
        <v>VERKAUF</v>
      </c>
      <c r="G35" t="str">
        <f>Rohdaten[[#This Row],[Abwesenheitsgrund]]</f>
        <v>Krank</v>
      </c>
      <c r="H35" s="57"/>
      <c r="I35">
        <f>NETWORKDAYS.INTL(ASFT[[#This Row],[von_Datum]],ASFT[[#This Row],[bis_Datum]],1,Feiertage[[Datum ]])</f>
        <v>4</v>
      </c>
      <c r="J35">
        <f>NETWORKDAYS.INTL(ASFT[[#This Row],[von_Datum]],ASFT[[#This Row],[bis_Datum]],"0111111",Feiertage[[Datum ]])</f>
        <v>1</v>
      </c>
      <c r="K35">
        <f>ASFT[[#This Row],[Dauer_Abwesenheit_Tage]]-ASFT[[#This Row],[Abwesenheiten_Montage]]</f>
        <v>3</v>
      </c>
    </row>
    <row r="36" spans="1:11" x14ac:dyDescent="0.3">
      <c r="A36">
        <v>35</v>
      </c>
      <c r="B36" s="57"/>
      <c r="C36" s="3">
        <f>Rohdaten[[#This Row],[von_Datum]]</f>
        <v>44889</v>
      </c>
      <c r="D36" s="3">
        <f>Rohdaten[[#This Row],[bis_Datum]]</f>
        <v>44892</v>
      </c>
      <c r="E36" t="str">
        <f>Rohdaten[[#This Row],[Mitarbeiter_ID]]</f>
        <v>AS</v>
      </c>
      <c r="F36" t="str">
        <f>VLOOKUP(ASFT[[#This Row],[Mitarbeitercode]],DIM_Mitarbeiter[],4,FALSE)</f>
        <v>VERW</v>
      </c>
      <c r="G36" t="str">
        <f>Rohdaten[[#This Row],[Abwesenheitsgrund]]</f>
        <v>Urlaub</v>
      </c>
      <c r="H36" s="57"/>
      <c r="I36">
        <f>NETWORKDAYS.INTL(ASFT[[#This Row],[von_Datum]],ASFT[[#This Row],[bis_Datum]],1,Feiertage[[Datum ]])</f>
        <v>2</v>
      </c>
      <c r="J36">
        <f>NETWORKDAYS.INTL(ASFT[[#This Row],[von_Datum]],ASFT[[#This Row],[bis_Datum]],"0111111",Feiertage[[Datum ]])</f>
        <v>0</v>
      </c>
      <c r="K36">
        <f>ASFT[[#This Row],[Dauer_Abwesenheit_Tage]]-ASFT[[#This Row],[Abwesenheiten_Montage]]</f>
        <v>2</v>
      </c>
    </row>
    <row r="37" spans="1:11" x14ac:dyDescent="0.3">
      <c r="A37">
        <v>36</v>
      </c>
      <c r="B37" s="57"/>
      <c r="C37" s="3">
        <f>Rohdaten[[#This Row],[von_Datum]]</f>
        <v>44891</v>
      </c>
      <c r="D37" s="3">
        <f>Rohdaten[[#This Row],[bis_Datum]]</f>
        <v>44896</v>
      </c>
      <c r="E37" t="str">
        <f>Rohdaten[[#This Row],[Mitarbeiter_ID]]</f>
        <v>AO</v>
      </c>
      <c r="F37" t="str">
        <f>VLOOKUP(ASFT[[#This Row],[Mitarbeitercode]],DIM_Mitarbeiter[],4,FALSE)</f>
        <v>PROD</v>
      </c>
      <c r="G37" t="str">
        <f>Rohdaten[[#This Row],[Abwesenheitsgrund]]</f>
        <v>Urlaub</v>
      </c>
      <c r="H37" s="57"/>
      <c r="I37">
        <f>NETWORKDAYS.INTL(ASFT[[#This Row],[von_Datum]],ASFT[[#This Row],[bis_Datum]],1,Feiertage[[Datum ]])</f>
        <v>4</v>
      </c>
      <c r="J37">
        <f>NETWORKDAYS.INTL(ASFT[[#This Row],[von_Datum]],ASFT[[#This Row],[bis_Datum]],"0111111",Feiertage[[Datum ]])</f>
        <v>1</v>
      </c>
      <c r="K37">
        <f>ASFT[[#This Row],[Dauer_Abwesenheit_Tage]]-ASFT[[#This Row],[Abwesenheiten_Montage]]</f>
        <v>3</v>
      </c>
    </row>
    <row r="38" spans="1:11" x14ac:dyDescent="0.3">
      <c r="A38">
        <v>37</v>
      </c>
      <c r="B38" s="57"/>
      <c r="C38" s="3">
        <f>Rohdaten[[#This Row],[von_Datum]]</f>
        <v>44892</v>
      </c>
      <c r="D38" s="3">
        <f>Rohdaten[[#This Row],[bis_Datum]]</f>
        <v>44904</v>
      </c>
      <c r="E38" t="str">
        <f>Rohdaten[[#This Row],[Mitarbeiter_ID]]</f>
        <v>AS</v>
      </c>
      <c r="F38" t="str">
        <f>VLOOKUP(ASFT[[#This Row],[Mitarbeitercode]],DIM_Mitarbeiter[],4,FALSE)</f>
        <v>VERW</v>
      </c>
      <c r="G38" t="str">
        <f>Rohdaten[[#This Row],[Abwesenheitsgrund]]</f>
        <v>Krank</v>
      </c>
      <c r="H38" s="57"/>
      <c r="I38">
        <f>NETWORKDAYS.INTL(ASFT[[#This Row],[von_Datum]],ASFT[[#This Row],[bis_Datum]],1,Feiertage[[Datum ]])</f>
        <v>10</v>
      </c>
      <c r="J38">
        <f>NETWORKDAYS.INTL(ASFT[[#This Row],[von_Datum]],ASFT[[#This Row],[bis_Datum]],"0111111",Feiertage[[Datum ]])</f>
        <v>2</v>
      </c>
      <c r="K38">
        <f>ASFT[[#This Row],[Dauer_Abwesenheit_Tage]]-ASFT[[#This Row],[Abwesenheiten_Montage]]</f>
        <v>8</v>
      </c>
    </row>
    <row r="39" spans="1:11" x14ac:dyDescent="0.3">
      <c r="A39">
        <v>38</v>
      </c>
      <c r="B39" s="57"/>
      <c r="C39" s="3">
        <f>Rohdaten[[#This Row],[von_Datum]]</f>
        <v>44893</v>
      </c>
      <c r="D39" s="3">
        <f>Rohdaten[[#This Row],[bis_Datum]]</f>
        <v>44897</v>
      </c>
      <c r="E39" t="str">
        <f>Rohdaten[[#This Row],[Mitarbeiter_ID]]</f>
        <v>AD</v>
      </c>
      <c r="F39" t="str">
        <f>VLOOKUP(ASFT[[#This Row],[Mitarbeitercode]],DIM_Mitarbeiter[],4,FALSE)</f>
        <v>VERKAUF</v>
      </c>
      <c r="G39" t="str">
        <f>Rohdaten[[#This Row],[Abwesenheitsgrund]]</f>
        <v>Urlaub</v>
      </c>
      <c r="H39" s="57"/>
      <c r="I39">
        <f>NETWORKDAYS.INTL(ASFT[[#This Row],[von_Datum]],ASFT[[#This Row],[bis_Datum]],1,Feiertage[[Datum ]])</f>
        <v>5</v>
      </c>
      <c r="J39">
        <f>NETWORKDAYS.INTL(ASFT[[#This Row],[von_Datum]],ASFT[[#This Row],[bis_Datum]],"0111111",Feiertage[[Datum ]])</f>
        <v>1</v>
      </c>
      <c r="K39">
        <f>ASFT[[#This Row],[Dauer_Abwesenheit_Tage]]-ASFT[[#This Row],[Abwesenheiten_Montage]]</f>
        <v>4</v>
      </c>
    </row>
    <row r="40" spans="1:11" x14ac:dyDescent="0.3">
      <c r="A40">
        <v>39</v>
      </c>
      <c r="B40" s="57"/>
      <c r="C40" s="3">
        <f>Rohdaten[[#This Row],[von_Datum]]</f>
        <v>44893</v>
      </c>
      <c r="D40" s="3">
        <f>Rohdaten[[#This Row],[bis_Datum]]</f>
        <v>44897</v>
      </c>
      <c r="E40" t="str">
        <f>Rohdaten[[#This Row],[Mitarbeiter_ID]]</f>
        <v>IO</v>
      </c>
      <c r="F40" t="str">
        <f>VLOOKUP(ASFT[[#This Row],[Mitarbeitercode]],DIM_Mitarbeiter[],4,FALSE)</f>
        <v>VERKAUF</v>
      </c>
      <c r="G40" t="str">
        <f>Rohdaten[[#This Row],[Abwesenheitsgrund]]</f>
        <v>Urlaub</v>
      </c>
      <c r="H40" s="57"/>
      <c r="I40">
        <f>NETWORKDAYS.INTL(ASFT[[#This Row],[von_Datum]],ASFT[[#This Row],[bis_Datum]],1,Feiertage[[Datum ]])</f>
        <v>5</v>
      </c>
      <c r="J40">
        <f>NETWORKDAYS.INTL(ASFT[[#This Row],[von_Datum]],ASFT[[#This Row],[bis_Datum]],"0111111",Feiertage[[Datum ]])</f>
        <v>1</v>
      </c>
      <c r="K40">
        <f>ASFT[[#This Row],[Dauer_Abwesenheit_Tage]]-ASFT[[#This Row],[Abwesenheiten_Montage]]</f>
        <v>4</v>
      </c>
    </row>
    <row r="41" spans="1:11" x14ac:dyDescent="0.3">
      <c r="A41">
        <v>40</v>
      </c>
      <c r="B41" s="57"/>
      <c r="C41" s="3">
        <f>Rohdaten[[#This Row],[von_Datum]]</f>
        <v>44894</v>
      </c>
      <c r="D41" s="3">
        <f>Rohdaten[[#This Row],[bis_Datum]]</f>
        <v>44896</v>
      </c>
      <c r="E41" t="str">
        <f>Rohdaten[[#This Row],[Mitarbeiter_ID]]</f>
        <v>SB</v>
      </c>
      <c r="F41" t="str">
        <f>VLOOKUP(ASFT[[#This Row],[Mitarbeitercode]],DIM_Mitarbeiter[],4,FALSE)</f>
        <v>PROD</v>
      </c>
      <c r="G41" t="str">
        <f>Rohdaten[[#This Row],[Abwesenheitsgrund]]</f>
        <v>Krank</v>
      </c>
      <c r="H41" s="57"/>
      <c r="I41">
        <f>NETWORKDAYS.INTL(ASFT[[#This Row],[von_Datum]],ASFT[[#This Row],[bis_Datum]],1,Feiertage[[Datum ]])</f>
        <v>3</v>
      </c>
      <c r="J41">
        <f>NETWORKDAYS.INTL(ASFT[[#This Row],[von_Datum]],ASFT[[#This Row],[bis_Datum]],"0111111",Feiertage[[Datum ]])</f>
        <v>0</v>
      </c>
      <c r="K41">
        <f>ASFT[[#This Row],[Dauer_Abwesenheit_Tage]]-ASFT[[#This Row],[Abwesenheiten_Montage]]</f>
        <v>3</v>
      </c>
    </row>
    <row r="42" spans="1:11" x14ac:dyDescent="0.3">
      <c r="A42">
        <v>41</v>
      </c>
      <c r="B42" s="57"/>
      <c r="C42" s="3">
        <f>Rohdaten[[#This Row],[von_Datum]]</f>
        <v>44895</v>
      </c>
      <c r="D42" s="3">
        <f>Rohdaten[[#This Row],[bis_Datum]]</f>
        <v>44897</v>
      </c>
      <c r="E42" t="str">
        <f>Rohdaten[[#This Row],[Mitarbeiter_ID]]</f>
        <v>AH</v>
      </c>
      <c r="F42" t="str">
        <f>VLOOKUP(ASFT[[#This Row],[Mitarbeitercode]],DIM_Mitarbeiter[],4,FALSE)</f>
        <v>VERW</v>
      </c>
      <c r="G42" t="str">
        <f>Rohdaten[[#This Row],[Abwesenheitsgrund]]</f>
        <v>Krank</v>
      </c>
      <c r="H42" s="57"/>
      <c r="I42">
        <f>NETWORKDAYS.INTL(ASFT[[#This Row],[von_Datum]],ASFT[[#This Row],[bis_Datum]],1,Feiertage[[Datum ]])</f>
        <v>3</v>
      </c>
      <c r="J42">
        <f>NETWORKDAYS.INTL(ASFT[[#This Row],[von_Datum]],ASFT[[#This Row],[bis_Datum]],"0111111",Feiertage[[Datum ]])</f>
        <v>0</v>
      </c>
      <c r="K42">
        <f>ASFT[[#This Row],[Dauer_Abwesenheit_Tage]]-ASFT[[#This Row],[Abwesenheiten_Montage]]</f>
        <v>3</v>
      </c>
    </row>
    <row r="43" spans="1:11" x14ac:dyDescent="0.3">
      <c r="A43">
        <v>42</v>
      </c>
      <c r="B43" s="57"/>
      <c r="C43" s="3">
        <f>Rohdaten[[#This Row],[von_Datum]]</f>
        <v>44895</v>
      </c>
      <c r="D43" s="3">
        <f>Rohdaten[[#This Row],[bis_Datum]]</f>
        <v>44898</v>
      </c>
      <c r="E43" t="str">
        <f>Rohdaten[[#This Row],[Mitarbeiter_ID]]</f>
        <v>HZ</v>
      </c>
      <c r="F43" t="str">
        <f>VLOOKUP(ASFT[[#This Row],[Mitarbeitercode]],DIM_Mitarbeiter[],4,FALSE)</f>
        <v>PROD</v>
      </c>
      <c r="G43" t="str">
        <f>Rohdaten[[#This Row],[Abwesenheitsgrund]]</f>
        <v>Krank</v>
      </c>
      <c r="H43" s="57"/>
      <c r="I43">
        <f>NETWORKDAYS.INTL(ASFT[[#This Row],[von_Datum]],ASFT[[#This Row],[bis_Datum]],1,Feiertage[[Datum ]])</f>
        <v>3</v>
      </c>
      <c r="J43">
        <f>NETWORKDAYS.INTL(ASFT[[#This Row],[von_Datum]],ASFT[[#This Row],[bis_Datum]],"0111111",Feiertage[[Datum ]])</f>
        <v>0</v>
      </c>
      <c r="K43">
        <f>ASFT[[#This Row],[Dauer_Abwesenheit_Tage]]-ASFT[[#This Row],[Abwesenheiten_Montage]]</f>
        <v>3</v>
      </c>
    </row>
    <row r="44" spans="1:11" x14ac:dyDescent="0.3">
      <c r="A44">
        <v>43</v>
      </c>
      <c r="B44" s="57"/>
      <c r="C44" s="3">
        <f>Rohdaten[[#This Row],[von_Datum]]</f>
        <v>44896</v>
      </c>
      <c r="D44" s="3">
        <f>Rohdaten[[#This Row],[bis_Datum]]</f>
        <v>44899</v>
      </c>
      <c r="E44" t="str">
        <f>Rohdaten[[#This Row],[Mitarbeiter_ID]]</f>
        <v>YB</v>
      </c>
      <c r="F44" t="str">
        <f>VLOOKUP(ASFT[[#This Row],[Mitarbeitercode]],DIM_Mitarbeiter[],4,FALSE)</f>
        <v>VERW</v>
      </c>
      <c r="G44" t="str">
        <f>Rohdaten[[#This Row],[Abwesenheitsgrund]]</f>
        <v>Urlaub</v>
      </c>
      <c r="H44" s="57"/>
      <c r="I44">
        <f>NETWORKDAYS.INTL(ASFT[[#This Row],[von_Datum]],ASFT[[#This Row],[bis_Datum]],1,Feiertage[[Datum ]])</f>
        <v>2</v>
      </c>
      <c r="J44">
        <f>NETWORKDAYS.INTL(ASFT[[#This Row],[von_Datum]],ASFT[[#This Row],[bis_Datum]],"0111111",Feiertage[[Datum ]])</f>
        <v>0</v>
      </c>
      <c r="K44">
        <f>ASFT[[#This Row],[Dauer_Abwesenheit_Tage]]-ASFT[[#This Row],[Abwesenheiten_Montage]]</f>
        <v>2</v>
      </c>
    </row>
    <row r="45" spans="1:11" x14ac:dyDescent="0.3">
      <c r="A45">
        <v>44</v>
      </c>
      <c r="B45" s="57"/>
      <c r="C45" s="3">
        <f>Rohdaten[[#This Row],[von_Datum]]</f>
        <v>44896</v>
      </c>
      <c r="D45" s="3">
        <f>Rohdaten[[#This Row],[bis_Datum]]</f>
        <v>44900</v>
      </c>
      <c r="E45" t="str">
        <f>Rohdaten[[#This Row],[Mitarbeiter_ID]]</f>
        <v>YB</v>
      </c>
      <c r="F45" t="str">
        <f>VLOOKUP(ASFT[[#This Row],[Mitarbeitercode]],DIM_Mitarbeiter[],4,FALSE)</f>
        <v>VERW</v>
      </c>
      <c r="G45" t="str">
        <f>Rohdaten[[#This Row],[Abwesenheitsgrund]]</f>
        <v>Urlaub</v>
      </c>
      <c r="H45" s="57"/>
      <c r="I45">
        <f>NETWORKDAYS.INTL(ASFT[[#This Row],[von_Datum]],ASFT[[#This Row],[bis_Datum]],1,Feiertage[[Datum ]])</f>
        <v>3</v>
      </c>
      <c r="J45">
        <f>NETWORKDAYS.INTL(ASFT[[#This Row],[von_Datum]],ASFT[[#This Row],[bis_Datum]],"0111111",Feiertage[[Datum ]])</f>
        <v>1</v>
      </c>
      <c r="K45">
        <f>ASFT[[#This Row],[Dauer_Abwesenheit_Tage]]-ASFT[[#This Row],[Abwesenheiten_Montage]]</f>
        <v>2</v>
      </c>
    </row>
    <row r="46" spans="1:11" x14ac:dyDescent="0.3">
      <c r="A46">
        <v>45</v>
      </c>
      <c r="B46" s="57"/>
      <c r="C46" s="3">
        <f>Rohdaten[[#This Row],[von_Datum]]</f>
        <v>44900</v>
      </c>
      <c r="D46" s="3">
        <f>Rohdaten[[#This Row],[bis_Datum]]</f>
        <v>44902</v>
      </c>
      <c r="E46" t="str">
        <f>Rohdaten[[#This Row],[Mitarbeiter_ID]]</f>
        <v>CL</v>
      </c>
      <c r="F46" t="str">
        <f>VLOOKUP(ASFT[[#This Row],[Mitarbeitercode]],DIM_Mitarbeiter[],4,FALSE)</f>
        <v>VERKAUF</v>
      </c>
      <c r="G46" t="str">
        <f>Rohdaten[[#This Row],[Abwesenheitsgrund]]</f>
        <v>Urlaub</v>
      </c>
      <c r="H46" s="57"/>
      <c r="I46">
        <f>NETWORKDAYS.INTL(ASFT[[#This Row],[von_Datum]],ASFT[[#This Row],[bis_Datum]],1,Feiertage[[Datum ]])</f>
        <v>3</v>
      </c>
      <c r="J46">
        <f>NETWORKDAYS.INTL(ASFT[[#This Row],[von_Datum]],ASFT[[#This Row],[bis_Datum]],"0111111",Feiertage[[Datum ]])</f>
        <v>1</v>
      </c>
      <c r="K46">
        <f>ASFT[[#This Row],[Dauer_Abwesenheit_Tage]]-ASFT[[#This Row],[Abwesenheiten_Montage]]</f>
        <v>2</v>
      </c>
    </row>
    <row r="47" spans="1:11" x14ac:dyDescent="0.3">
      <c r="A47">
        <v>46</v>
      </c>
      <c r="B47" s="57"/>
      <c r="C47" s="3">
        <f>Rohdaten[[#This Row],[von_Datum]]</f>
        <v>44901</v>
      </c>
      <c r="D47" s="3">
        <f>Rohdaten[[#This Row],[bis_Datum]]</f>
        <v>44915</v>
      </c>
      <c r="E47" t="str">
        <f>Rohdaten[[#This Row],[Mitarbeiter_ID]]</f>
        <v>AD</v>
      </c>
      <c r="F47" t="str">
        <f>VLOOKUP(ASFT[[#This Row],[Mitarbeitercode]],DIM_Mitarbeiter[],4,FALSE)</f>
        <v>VERKAUF</v>
      </c>
      <c r="G47" t="str">
        <f>Rohdaten[[#This Row],[Abwesenheitsgrund]]</f>
        <v>Urlaub</v>
      </c>
      <c r="H47" s="57"/>
      <c r="I47">
        <f>NETWORKDAYS.INTL(ASFT[[#This Row],[von_Datum]],ASFT[[#This Row],[bis_Datum]],1,Feiertage[[Datum ]])</f>
        <v>11</v>
      </c>
      <c r="J47">
        <f>NETWORKDAYS.INTL(ASFT[[#This Row],[von_Datum]],ASFT[[#This Row],[bis_Datum]],"0111111",Feiertage[[Datum ]])</f>
        <v>2</v>
      </c>
      <c r="K47">
        <f>ASFT[[#This Row],[Dauer_Abwesenheit_Tage]]-ASFT[[#This Row],[Abwesenheiten_Montage]]</f>
        <v>9</v>
      </c>
    </row>
    <row r="48" spans="1:11" x14ac:dyDescent="0.3">
      <c r="A48">
        <v>47</v>
      </c>
      <c r="B48" s="57"/>
      <c r="C48" s="3">
        <f>Rohdaten[[#This Row],[von_Datum]]</f>
        <v>44908</v>
      </c>
      <c r="D48" s="3">
        <f>Rohdaten[[#This Row],[bis_Datum]]</f>
        <v>44908</v>
      </c>
      <c r="E48" t="str">
        <f>Rohdaten[[#This Row],[Mitarbeiter_ID]]</f>
        <v>BB</v>
      </c>
      <c r="F48" t="str">
        <f>VLOOKUP(ASFT[[#This Row],[Mitarbeitercode]],DIM_Mitarbeiter[],4,FALSE)</f>
        <v>VERKAUF</v>
      </c>
      <c r="G48" t="str">
        <f>Rohdaten[[#This Row],[Abwesenheitsgrund]]</f>
        <v>Krank</v>
      </c>
      <c r="H48" s="57"/>
      <c r="I48">
        <f>NETWORKDAYS.INTL(ASFT[[#This Row],[von_Datum]],ASFT[[#This Row],[bis_Datum]],1,Feiertage[[Datum ]])</f>
        <v>1</v>
      </c>
      <c r="J48">
        <f>NETWORKDAYS.INTL(ASFT[[#This Row],[von_Datum]],ASFT[[#This Row],[bis_Datum]],"0111111",Feiertage[[Datum ]])</f>
        <v>0</v>
      </c>
      <c r="K48">
        <f>ASFT[[#This Row],[Dauer_Abwesenheit_Tage]]-ASFT[[#This Row],[Abwesenheiten_Montage]]</f>
        <v>1</v>
      </c>
    </row>
    <row r="49" spans="1:11" x14ac:dyDescent="0.3">
      <c r="A49">
        <v>48</v>
      </c>
      <c r="B49" s="57"/>
      <c r="C49" s="3">
        <f>Rohdaten[[#This Row],[von_Datum]]</f>
        <v>44909</v>
      </c>
      <c r="D49" s="3">
        <f>Rohdaten[[#This Row],[bis_Datum]]</f>
        <v>44931</v>
      </c>
      <c r="E49" t="str">
        <f>Rohdaten[[#This Row],[Mitarbeiter_ID]]</f>
        <v>JS</v>
      </c>
      <c r="F49" t="str">
        <f>VLOOKUP(ASFT[[#This Row],[Mitarbeitercode]],DIM_Mitarbeiter[],4,FALSE)</f>
        <v>PROD</v>
      </c>
      <c r="G49" t="str">
        <f>Rohdaten[[#This Row],[Abwesenheitsgrund]]</f>
        <v>Krank</v>
      </c>
      <c r="H49" s="57"/>
      <c r="I49">
        <f>NETWORKDAYS.INTL(ASFT[[#This Row],[von_Datum]],ASFT[[#This Row],[bis_Datum]],1,Feiertage[[Datum ]])</f>
        <v>16</v>
      </c>
      <c r="J49">
        <f>NETWORKDAYS.INTL(ASFT[[#This Row],[von_Datum]],ASFT[[#This Row],[bis_Datum]],"0111111",Feiertage[[Datum ]])</f>
        <v>2</v>
      </c>
      <c r="K49">
        <f>ASFT[[#This Row],[Dauer_Abwesenheit_Tage]]-ASFT[[#This Row],[Abwesenheiten_Montage]]</f>
        <v>14</v>
      </c>
    </row>
    <row r="50" spans="1:11" x14ac:dyDescent="0.3">
      <c r="A50">
        <v>49</v>
      </c>
      <c r="B50" s="57"/>
      <c r="C50" s="3">
        <f>Rohdaten[[#This Row],[von_Datum]]</f>
        <v>44914</v>
      </c>
      <c r="D50" s="3">
        <f>Rohdaten[[#This Row],[bis_Datum]]</f>
        <v>44919</v>
      </c>
      <c r="E50" t="str">
        <f>Rohdaten[[#This Row],[Mitarbeiter_ID]]</f>
        <v>IO</v>
      </c>
      <c r="F50" t="str">
        <f>VLOOKUP(ASFT[[#This Row],[Mitarbeitercode]],DIM_Mitarbeiter[],4,FALSE)</f>
        <v>VERKAUF</v>
      </c>
      <c r="G50" t="str">
        <f>Rohdaten[[#This Row],[Abwesenheitsgrund]]</f>
        <v>Urlaub</v>
      </c>
      <c r="H50" s="57"/>
      <c r="I50">
        <f>NETWORKDAYS.INTL(ASFT[[#This Row],[von_Datum]],ASFT[[#This Row],[bis_Datum]],1,Feiertage[[Datum ]])</f>
        <v>5</v>
      </c>
      <c r="J50">
        <f>NETWORKDAYS.INTL(ASFT[[#This Row],[von_Datum]],ASFT[[#This Row],[bis_Datum]],"0111111",Feiertage[[Datum ]])</f>
        <v>1</v>
      </c>
      <c r="K50">
        <f>ASFT[[#This Row],[Dauer_Abwesenheit_Tage]]-ASFT[[#This Row],[Abwesenheiten_Montage]]</f>
        <v>4</v>
      </c>
    </row>
    <row r="51" spans="1:11" x14ac:dyDescent="0.3">
      <c r="A51">
        <v>50</v>
      </c>
      <c r="B51" s="57"/>
      <c r="C51" s="3">
        <f>Rohdaten[[#This Row],[von_Datum]]</f>
        <v>44915</v>
      </c>
      <c r="D51" s="3">
        <f>Rohdaten[[#This Row],[bis_Datum]]</f>
        <v>44931</v>
      </c>
      <c r="E51" t="str">
        <f>Rohdaten[[#This Row],[Mitarbeiter_ID]]</f>
        <v>AO</v>
      </c>
      <c r="F51" t="str">
        <f>VLOOKUP(ASFT[[#This Row],[Mitarbeitercode]],DIM_Mitarbeiter[],4,FALSE)</f>
        <v>PROD</v>
      </c>
      <c r="G51" t="str">
        <f>Rohdaten[[#This Row],[Abwesenheitsgrund]]</f>
        <v>Krank</v>
      </c>
      <c r="H51" s="57"/>
      <c r="I51">
        <f>NETWORKDAYS.INTL(ASFT[[#This Row],[von_Datum]],ASFT[[#This Row],[bis_Datum]],1,Feiertage[[Datum ]])</f>
        <v>12</v>
      </c>
      <c r="J51">
        <f>NETWORKDAYS.INTL(ASFT[[#This Row],[von_Datum]],ASFT[[#This Row],[bis_Datum]],"0111111",Feiertage[[Datum ]])</f>
        <v>1</v>
      </c>
      <c r="K51">
        <f>ASFT[[#This Row],[Dauer_Abwesenheit_Tage]]-ASFT[[#This Row],[Abwesenheiten_Montage]]</f>
        <v>11</v>
      </c>
    </row>
    <row r="52" spans="1:11" x14ac:dyDescent="0.3">
      <c r="A52">
        <v>51</v>
      </c>
      <c r="B52" s="57"/>
      <c r="C52" s="3">
        <f>Rohdaten[[#This Row],[von_Datum]]</f>
        <v>44917</v>
      </c>
      <c r="D52" s="3">
        <f>Rohdaten[[#This Row],[bis_Datum]]</f>
        <v>44924</v>
      </c>
      <c r="E52" t="str">
        <f>Rohdaten[[#This Row],[Mitarbeiter_ID]]</f>
        <v>AS</v>
      </c>
      <c r="F52" t="str">
        <f>VLOOKUP(ASFT[[#This Row],[Mitarbeitercode]],DIM_Mitarbeiter[],4,FALSE)</f>
        <v>VERW</v>
      </c>
      <c r="G52" t="str">
        <f>Rohdaten[[#This Row],[Abwesenheitsgrund]]</f>
        <v>Urlaub</v>
      </c>
      <c r="H52" s="57"/>
      <c r="I52">
        <f>NETWORKDAYS.INTL(ASFT[[#This Row],[von_Datum]],ASFT[[#This Row],[bis_Datum]],1,Feiertage[[Datum ]])</f>
        <v>5</v>
      </c>
      <c r="J52">
        <f>NETWORKDAYS.INTL(ASFT[[#This Row],[von_Datum]],ASFT[[#This Row],[bis_Datum]],"0111111",Feiertage[[Datum ]])</f>
        <v>0</v>
      </c>
      <c r="K52">
        <f>ASFT[[#This Row],[Dauer_Abwesenheit_Tage]]-ASFT[[#This Row],[Abwesenheiten_Montage]]</f>
        <v>5</v>
      </c>
    </row>
    <row r="53" spans="1:11" x14ac:dyDescent="0.3">
      <c r="A53">
        <v>52</v>
      </c>
      <c r="B53" s="57"/>
      <c r="C53" s="3">
        <f>Rohdaten[[#This Row],[von_Datum]]</f>
        <v>44918</v>
      </c>
      <c r="D53" s="3">
        <f>Rohdaten[[#This Row],[bis_Datum]]</f>
        <v>44931</v>
      </c>
      <c r="E53" t="str">
        <f>Rohdaten[[#This Row],[Mitarbeiter_ID]]</f>
        <v>BB</v>
      </c>
      <c r="F53" t="str">
        <f>VLOOKUP(ASFT[[#This Row],[Mitarbeitercode]],DIM_Mitarbeiter[],4,FALSE)</f>
        <v>VERKAUF</v>
      </c>
      <c r="G53" t="str">
        <f>Rohdaten[[#This Row],[Abwesenheitsgrund]]</f>
        <v>Krank</v>
      </c>
      <c r="H53" s="57"/>
      <c r="I53">
        <f>NETWORKDAYS.INTL(ASFT[[#This Row],[von_Datum]],ASFT[[#This Row],[bis_Datum]],1,Feiertage[[Datum ]])</f>
        <v>9</v>
      </c>
      <c r="J53">
        <f>NETWORKDAYS.INTL(ASFT[[#This Row],[von_Datum]],ASFT[[#This Row],[bis_Datum]],"0111111",Feiertage[[Datum ]])</f>
        <v>1</v>
      </c>
      <c r="K53">
        <f>ASFT[[#This Row],[Dauer_Abwesenheit_Tage]]-ASFT[[#This Row],[Abwesenheiten_Montage]]</f>
        <v>8</v>
      </c>
    </row>
    <row r="54" spans="1:11" x14ac:dyDescent="0.3">
      <c r="A54">
        <v>53</v>
      </c>
      <c r="B54" s="57"/>
      <c r="C54" s="3">
        <f>Rohdaten[[#This Row],[von_Datum]]</f>
        <v>44920</v>
      </c>
      <c r="D54" s="3">
        <f>Rohdaten[[#This Row],[bis_Datum]]</f>
        <v>44927</v>
      </c>
      <c r="E54" t="str">
        <f>Rohdaten[[#This Row],[Mitarbeiter_ID]]</f>
        <v>IO</v>
      </c>
      <c r="F54" t="str">
        <f>VLOOKUP(ASFT[[#This Row],[Mitarbeitercode]],DIM_Mitarbeiter[],4,FALSE)</f>
        <v>VERKAUF</v>
      </c>
      <c r="G54" t="str">
        <f>Rohdaten[[#This Row],[Abwesenheitsgrund]]</f>
        <v>Urlaub</v>
      </c>
      <c r="H54" s="57"/>
      <c r="I54">
        <f>NETWORKDAYS.INTL(ASFT[[#This Row],[von_Datum]],ASFT[[#This Row],[bis_Datum]],1,Feiertage[[Datum ]])</f>
        <v>4</v>
      </c>
      <c r="J54">
        <f>NETWORKDAYS.INTL(ASFT[[#This Row],[von_Datum]],ASFT[[#This Row],[bis_Datum]],"0111111",Feiertage[[Datum ]])</f>
        <v>0</v>
      </c>
      <c r="K54">
        <f>ASFT[[#This Row],[Dauer_Abwesenheit_Tage]]-ASFT[[#This Row],[Abwesenheiten_Montage]]</f>
        <v>4</v>
      </c>
    </row>
    <row r="55" spans="1:11" x14ac:dyDescent="0.3">
      <c r="A55">
        <v>54</v>
      </c>
      <c r="B55" s="57"/>
      <c r="C55" s="3">
        <f>Rohdaten[[#This Row],[von_Datum]]</f>
        <v>44923</v>
      </c>
      <c r="D55" s="3">
        <f>Rohdaten[[#This Row],[bis_Datum]]</f>
        <v>44928</v>
      </c>
      <c r="E55" t="str">
        <f>Rohdaten[[#This Row],[Mitarbeiter_ID]]</f>
        <v>AS</v>
      </c>
      <c r="F55" t="str">
        <f>VLOOKUP(ASFT[[#This Row],[Mitarbeitercode]],DIM_Mitarbeiter[],4,FALSE)</f>
        <v>VERW</v>
      </c>
      <c r="G55" t="str">
        <f>Rohdaten[[#This Row],[Abwesenheitsgrund]]</f>
        <v>Krank</v>
      </c>
      <c r="H55" s="57"/>
      <c r="I55">
        <f>NETWORKDAYS.INTL(ASFT[[#This Row],[von_Datum]],ASFT[[#This Row],[bis_Datum]],1,Feiertage[[Datum ]])</f>
        <v>4</v>
      </c>
      <c r="J55">
        <f>NETWORKDAYS.INTL(ASFT[[#This Row],[von_Datum]],ASFT[[#This Row],[bis_Datum]],"0111111",Feiertage[[Datum ]])</f>
        <v>1</v>
      </c>
      <c r="K55">
        <f>ASFT[[#This Row],[Dauer_Abwesenheit_Tage]]-ASFT[[#This Row],[Abwesenheiten_Montage]]</f>
        <v>3</v>
      </c>
    </row>
    <row r="56" spans="1:11" x14ac:dyDescent="0.3">
      <c r="A56">
        <v>55</v>
      </c>
      <c r="B56" s="57"/>
      <c r="C56" s="3">
        <f>Rohdaten[[#This Row],[von_Datum]]</f>
        <v>44921</v>
      </c>
      <c r="D56" s="3">
        <f>Rohdaten[[#This Row],[bis_Datum]]</f>
        <v>44929</v>
      </c>
      <c r="E56" t="str">
        <f>Rohdaten[[#This Row],[Mitarbeiter_ID]]</f>
        <v>CL</v>
      </c>
      <c r="F56" t="str">
        <f>VLOOKUP(ASFT[[#This Row],[Mitarbeitercode]],DIM_Mitarbeiter[],4,FALSE)</f>
        <v>VERKAUF</v>
      </c>
      <c r="G56" t="str">
        <f>Rohdaten[[#This Row],[Abwesenheitsgrund]]</f>
        <v>Krank</v>
      </c>
      <c r="H56" s="57"/>
      <c r="I56">
        <f>NETWORKDAYS.INTL(ASFT[[#This Row],[von_Datum]],ASFT[[#This Row],[bis_Datum]],1,Feiertage[[Datum ]])</f>
        <v>6</v>
      </c>
      <c r="J56">
        <f>NETWORKDAYS.INTL(ASFT[[#This Row],[von_Datum]],ASFT[[#This Row],[bis_Datum]],"0111111",Feiertage[[Datum ]])</f>
        <v>1</v>
      </c>
      <c r="K56">
        <f>ASFT[[#This Row],[Dauer_Abwesenheit_Tage]]-ASFT[[#This Row],[Abwesenheiten_Montage]]</f>
        <v>5</v>
      </c>
    </row>
  </sheetData>
  <pageMargins left="0.7" right="0.7" top="0.78740157499999996" bottom="0.78740157499999996" header="0.3" footer="0.3"/>
  <drawing r:id="rId1"/>
  <legacy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BB144-E3C6-422F-BC35-E8C2A01FDF43}">
  <sheetPr>
    <tabColor theme="9" tint="-0.249977111117893"/>
  </sheetPr>
  <dimension ref="A1:I93"/>
  <sheetViews>
    <sheetView topLeftCell="A23" zoomScale="85" zoomScaleNormal="85" workbookViewId="0">
      <selection activeCell="A70" sqref="A70"/>
    </sheetView>
  </sheetViews>
  <sheetFormatPr baseColWidth="10" defaultColWidth="8.88671875" defaultRowHeight="14.4" x14ac:dyDescent="0.3"/>
  <cols>
    <col min="1" max="1" width="21.109375" customWidth="1"/>
    <col min="2" max="2" width="20.6640625" bestFit="1" customWidth="1"/>
    <col min="3" max="3" width="27.44140625" customWidth="1"/>
    <col min="4" max="4" width="61.5546875" customWidth="1"/>
    <col min="6" max="6" width="28.33203125" customWidth="1"/>
    <col min="7" max="7" width="12.88671875" customWidth="1"/>
    <col min="8" max="8" width="35.109375" customWidth="1"/>
    <col min="9" max="9" width="78.6640625" customWidth="1"/>
  </cols>
  <sheetData>
    <row r="1" spans="1:9" x14ac:dyDescent="0.3">
      <c r="B1" s="61"/>
      <c r="C1" s="61"/>
      <c r="D1" s="61"/>
      <c r="E1" s="61"/>
      <c r="F1" s="61"/>
      <c r="G1" s="61"/>
      <c r="H1" s="61"/>
      <c r="I1" s="61"/>
    </row>
    <row r="2" spans="1:9" x14ac:dyDescent="0.3">
      <c r="A2" s="97" t="s">
        <v>265</v>
      </c>
      <c r="B2" s="61"/>
      <c r="C2" s="61"/>
      <c r="D2" s="61"/>
      <c r="E2" s="61"/>
      <c r="F2" s="97" t="s">
        <v>274</v>
      </c>
      <c r="G2" s="61"/>
      <c r="H2" s="61"/>
      <c r="I2" s="61"/>
    </row>
    <row r="3" spans="1:9" x14ac:dyDescent="0.3">
      <c r="A3" s="65" t="s">
        <v>120</v>
      </c>
      <c r="B3" s="65" t="s">
        <v>121</v>
      </c>
      <c r="C3" s="65" t="s">
        <v>122</v>
      </c>
      <c r="D3" s="65" t="s">
        <v>123</v>
      </c>
      <c r="E3" s="61"/>
      <c r="F3" s="71" t="s">
        <v>120</v>
      </c>
      <c r="G3" s="72" t="s">
        <v>121</v>
      </c>
      <c r="H3" s="72" t="s">
        <v>122</v>
      </c>
      <c r="I3" s="73" t="s">
        <v>123</v>
      </c>
    </row>
    <row r="4" spans="1:9" x14ac:dyDescent="0.3">
      <c r="A4" s="69" t="s">
        <v>127</v>
      </c>
      <c r="B4" s="69" t="s">
        <v>79</v>
      </c>
      <c r="C4" s="69" t="s">
        <v>125</v>
      </c>
      <c r="D4" s="69" t="s">
        <v>128</v>
      </c>
      <c r="E4" s="61"/>
      <c r="F4" s="74" t="s">
        <v>113</v>
      </c>
      <c r="G4" s="75" t="s">
        <v>129</v>
      </c>
      <c r="H4" s="75" t="s">
        <v>125</v>
      </c>
      <c r="I4" s="76" t="s">
        <v>136</v>
      </c>
    </row>
    <row r="5" spans="1:9" x14ac:dyDescent="0.3">
      <c r="A5" s="70" t="s">
        <v>28</v>
      </c>
      <c r="B5" s="70" t="s">
        <v>129</v>
      </c>
      <c r="C5" s="70" t="s">
        <v>130</v>
      </c>
      <c r="D5" s="70" t="s">
        <v>131</v>
      </c>
      <c r="E5" s="61"/>
      <c r="F5" s="77" t="s">
        <v>86</v>
      </c>
      <c r="G5" s="78" t="s">
        <v>137</v>
      </c>
      <c r="H5" s="78" t="s">
        <v>138</v>
      </c>
      <c r="I5" s="79"/>
    </row>
    <row r="6" spans="1:9" x14ac:dyDescent="0.3">
      <c r="A6" s="69" t="s">
        <v>29</v>
      </c>
      <c r="B6" s="69" t="s">
        <v>132</v>
      </c>
      <c r="C6" s="69" t="s">
        <v>130</v>
      </c>
      <c r="D6" s="69" t="s">
        <v>29</v>
      </c>
      <c r="E6" s="61"/>
      <c r="F6" s="74" t="s">
        <v>87</v>
      </c>
      <c r="G6" s="75" t="s">
        <v>137</v>
      </c>
      <c r="H6" s="75" t="s">
        <v>138</v>
      </c>
      <c r="I6" s="76"/>
    </row>
    <row r="7" spans="1:9" x14ac:dyDescent="0.3">
      <c r="A7" s="70" t="s">
        <v>30</v>
      </c>
      <c r="B7" s="70" t="s">
        <v>133</v>
      </c>
      <c r="C7" s="70" t="s">
        <v>130</v>
      </c>
      <c r="D7" s="70" t="s">
        <v>134</v>
      </c>
      <c r="E7" s="61"/>
      <c r="F7" s="77" t="s">
        <v>85</v>
      </c>
      <c r="G7" s="78" t="s">
        <v>79</v>
      </c>
      <c r="H7" s="78" t="s">
        <v>139</v>
      </c>
      <c r="I7" s="79" t="s">
        <v>140</v>
      </c>
    </row>
    <row r="8" spans="1:9" x14ac:dyDescent="0.3">
      <c r="A8" s="69" t="s">
        <v>31</v>
      </c>
      <c r="B8" s="69" t="s">
        <v>133</v>
      </c>
      <c r="C8" s="69" t="s">
        <v>130</v>
      </c>
      <c r="D8" s="69" t="s">
        <v>135</v>
      </c>
      <c r="E8" s="61"/>
      <c r="F8" s="74" t="s">
        <v>38</v>
      </c>
      <c r="G8" s="75" t="s">
        <v>141</v>
      </c>
      <c r="H8" s="75" t="s">
        <v>142</v>
      </c>
      <c r="I8" s="76" t="s">
        <v>143</v>
      </c>
    </row>
    <row r="9" spans="1:9" x14ac:dyDescent="0.3">
      <c r="A9" s="61"/>
      <c r="B9" s="61"/>
      <c r="C9" s="61"/>
      <c r="D9" s="61"/>
      <c r="E9" s="61"/>
      <c r="F9" s="77" t="s">
        <v>88</v>
      </c>
      <c r="G9" s="78" t="s">
        <v>79</v>
      </c>
      <c r="H9" s="78" t="s">
        <v>144</v>
      </c>
      <c r="I9" s="79" t="s">
        <v>88</v>
      </c>
    </row>
    <row r="10" spans="1:9" x14ac:dyDescent="0.3">
      <c r="A10" s="61"/>
      <c r="B10" s="61"/>
      <c r="C10" s="61"/>
      <c r="D10" s="61"/>
      <c r="E10" s="61"/>
      <c r="F10" s="74" t="s">
        <v>147</v>
      </c>
      <c r="G10" s="75" t="s">
        <v>129</v>
      </c>
      <c r="H10" s="75" t="s">
        <v>148</v>
      </c>
      <c r="I10" s="76" t="s">
        <v>149</v>
      </c>
    </row>
    <row r="11" spans="1:9" x14ac:dyDescent="0.3">
      <c r="A11" s="97" t="s">
        <v>266</v>
      </c>
      <c r="B11" s="61"/>
      <c r="C11" s="61"/>
      <c r="D11" s="61"/>
      <c r="E11" s="61"/>
      <c r="F11" s="77" t="s">
        <v>118</v>
      </c>
      <c r="G11" s="78" t="s">
        <v>129</v>
      </c>
      <c r="H11" s="78" t="s">
        <v>148</v>
      </c>
      <c r="I11" s="79" t="s">
        <v>152</v>
      </c>
    </row>
    <row r="12" spans="1:9" x14ac:dyDescent="0.3">
      <c r="A12" s="65" t="s">
        <v>120</v>
      </c>
      <c r="B12" s="65" t="s">
        <v>121</v>
      </c>
      <c r="C12" s="65" t="s">
        <v>122</v>
      </c>
      <c r="D12" s="65" t="s">
        <v>123</v>
      </c>
      <c r="E12" s="61"/>
      <c r="F12" s="74" t="s">
        <v>155</v>
      </c>
      <c r="G12" s="75" t="s">
        <v>129</v>
      </c>
      <c r="H12" s="75" t="s">
        <v>148</v>
      </c>
      <c r="I12" s="76" t="s">
        <v>156</v>
      </c>
    </row>
    <row r="13" spans="1:9" x14ac:dyDescent="0.3">
      <c r="A13" s="80" t="s">
        <v>85</v>
      </c>
      <c r="B13" s="81" t="s">
        <v>79</v>
      </c>
      <c r="C13" s="81" t="s">
        <v>125</v>
      </c>
      <c r="D13" s="82" t="s">
        <v>140</v>
      </c>
      <c r="E13" s="61"/>
      <c r="F13" s="61"/>
      <c r="G13" s="61"/>
      <c r="H13" s="61"/>
      <c r="I13" s="61"/>
    </row>
    <row r="14" spans="1:9" x14ac:dyDescent="0.3">
      <c r="A14" s="66" t="s">
        <v>145</v>
      </c>
      <c r="B14" s="67" t="s">
        <v>141</v>
      </c>
      <c r="C14" s="67"/>
      <c r="D14" s="68" t="s">
        <v>146</v>
      </c>
      <c r="E14" s="61"/>
      <c r="F14" s="61"/>
      <c r="G14" s="61"/>
      <c r="H14" s="61"/>
      <c r="I14" s="61"/>
    </row>
    <row r="15" spans="1:9" x14ac:dyDescent="0.3">
      <c r="A15" s="80" t="s">
        <v>150</v>
      </c>
      <c r="B15" s="81" t="s">
        <v>141</v>
      </c>
      <c r="C15" s="81"/>
      <c r="D15" s="82" t="s">
        <v>151</v>
      </c>
      <c r="E15" s="61"/>
    </row>
    <row r="16" spans="1:9" x14ac:dyDescent="0.3">
      <c r="A16" s="66" t="s">
        <v>38</v>
      </c>
      <c r="B16" s="67" t="s">
        <v>79</v>
      </c>
      <c r="C16" s="67" t="s">
        <v>153</v>
      </c>
      <c r="D16" s="68" t="s">
        <v>154</v>
      </c>
      <c r="E16" s="61"/>
      <c r="F16" s="97" t="s">
        <v>275</v>
      </c>
      <c r="G16" s="61"/>
      <c r="H16" s="61"/>
      <c r="I16" s="61"/>
    </row>
    <row r="17" spans="1:9" x14ac:dyDescent="0.3">
      <c r="E17" s="61"/>
      <c r="F17" s="71" t="s">
        <v>120</v>
      </c>
      <c r="G17" s="72" t="s">
        <v>121</v>
      </c>
      <c r="H17" s="72" t="s">
        <v>122</v>
      </c>
      <c r="I17" s="73" t="s">
        <v>123</v>
      </c>
    </row>
    <row r="18" spans="1:9" x14ac:dyDescent="0.3">
      <c r="E18" s="61"/>
      <c r="F18" s="74" t="s">
        <v>127</v>
      </c>
      <c r="G18" s="75" t="s">
        <v>79</v>
      </c>
      <c r="H18" s="75" t="s">
        <v>177</v>
      </c>
      <c r="I18" s="76" t="s">
        <v>128</v>
      </c>
    </row>
    <row r="19" spans="1:9" x14ac:dyDescent="0.3">
      <c r="A19" s="111" t="s">
        <v>267</v>
      </c>
      <c r="B19" s="61"/>
      <c r="C19" s="61"/>
      <c r="D19" s="61"/>
      <c r="E19" s="61"/>
      <c r="F19" s="77" t="s">
        <v>32</v>
      </c>
      <c r="G19" s="78" t="s">
        <v>141</v>
      </c>
      <c r="H19" s="78" t="s">
        <v>178</v>
      </c>
      <c r="I19" s="79" t="s">
        <v>172</v>
      </c>
    </row>
    <row r="20" spans="1:9" x14ac:dyDescent="0.3">
      <c r="A20" s="61" t="s">
        <v>120</v>
      </c>
      <c r="B20" s="61" t="s">
        <v>121</v>
      </c>
      <c r="C20" s="61" t="s">
        <v>122</v>
      </c>
      <c r="D20" s="61" t="s">
        <v>123</v>
      </c>
      <c r="E20" s="61"/>
      <c r="F20" s="74" t="s">
        <v>85</v>
      </c>
      <c r="G20" s="75" t="s">
        <v>79</v>
      </c>
      <c r="H20" s="75" t="s">
        <v>180</v>
      </c>
      <c r="I20" s="76" t="s">
        <v>140</v>
      </c>
    </row>
    <row r="21" spans="1:9" x14ac:dyDescent="0.3">
      <c r="A21" s="101" t="s">
        <v>38</v>
      </c>
      <c r="B21" s="102" t="s">
        <v>79</v>
      </c>
      <c r="C21" s="102" t="s">
        <v>125</v>
      </c>
      <c r="D21" s="103" t="s">
        <v>157</v>
      </c>
      <c r="E21" s="61"/>
      <c r="F21" s="77" t="s">
        <v>88</v>
      </c>
      <c r="G21" s="78" t="s">
        <v>79</v>
      </c>
      <c r="H21" s="78" t="s">
        <v>183</v>
      </c>
      <c r="I21" s="79" t="s">
        <v>184</v>
      </c>
    </row>
    <row r="22" spans="1:9" x14ac:dyDescent="0.3">
      <c r="A22" s="80" t="s">
        <v>75</v>
      </c>
      <c r="B22" s="81" t="s">
        <v>141</v>
      </c>
      <c r="C22" s="81"/>
      <c r="D22" s="82" t="s">
        <v>143</v>
      </c>
      <c r="E22" s="61"/>
      <c r="F22" s="74" t="s">
        <v>38</v>
      </c>
      <c r="G22" s="75" t="s">
        <v>79</v>
      </c>
      <c r="H22" s="75" t="s">
        <v>187</v>
      </c>
      <c r="I22" s="76" t="s">
        <v>143</v>
      </c>
    </row>
    <row r="23" spans="1:9" x14ac:dyDescent="0.3">
      <c r="A23" s="98"/>
      <c r="B23" s="99"/>
      <c r="C23" s="99"/>
      <c r="D23" s="100"/>
      <c r="E23" s="61"/>
      <c r="F23" s="77" t="s">
        <v>190</v>
      </c>
      <c r="G23" s="78" t="s">
        <v>129</v>
      </c>
      <c r="H23" s="78" t="s">
        <v>148</v>
      </c>
      <c r="I23" s="79" t="s">
        <v>191</v>
      </c>
    </row>
    <row r="24" spans="1:9" x14ac:dyDescent="0.3">
      <c r="A24" s="61"/>
      <c r="B24" s="61"/>
      <c r="C24" s="61"/>
      <c r="D24" s="61"/>
      <c r="E24" s="61"/>
      <c r="F24" s="74" t="s">
        <v>194</v>
      </c>
      <c r="G24" s="75" t="s">
        <v>129</v>
      </c>
      <c r="H24" s="75" t="s">
        <v>148</v>
      </c>
      <c r="I24" s="76" t="s">
        <v>195</v>
      </c>
    </row>
    <row r="25" spans="1:9" x14ac:dyDescent="0.3">
      <c r="A25" s="111" t="s">
        <v>268</v>
      </c>
      <c r="B25" s="61"/>
      <c r="C25" s="61"/>
      <c r="D25" s="61"/>
      <c r="E25" s="61"/>
      <c r="F25" s="77" t="s">
        <v>198</v>
      </c>
      <c r="G25" s="78" t="s">
        <v>129</v>
      </c>
      <c r="H25" s="78" t="s">
        <v>148</v>
      </c>
      <c r="I25" s="79" t="s">
        <v>199</v>
      </c>
    </row>
    <row r="26" spans="1:9" x14ac:dyDescent="0.3">
      <c r="A26" s="61" t="s">
        <v>120</v>
      </c>
      <c r="B26" s="61" t="s">
        <v>121</v>
      </c>
      <c r="C26" s="61" t="s">
        <v>122</v>
      </c>
      <c r="D26" s="61" t="s">
        <v>166</v>
      </c>
      <c r="E26" s="61"/>
      <c r="F26" s="74" t="s">
        <v>202</v>
      </c>
      <c r="G26" s="75" t="s">
        <v>129</v>
      </c>
      <c r="H26" s="75" t="s">
        <v>148</v>
      </c>
      <c r="I26" s="76" t="s">
        <v>203</v>
      </c>
    </row>
    <row r="27" spans="1:9" x14ac:dyDescent="0.3">
      <c r="A27" s="105" t="s">
        <v>32</v>
      </c>
      <c r="B27" s="106" t="s">
        <v>169</v>
      </c>
      <c r="C27" s="106" t="s">
        <v>125</v>
      </c>
      <c r="D27" s="107" t="s">
        <v>170</v>
      </c>
      <c r="E27" s="61"/>
      <c r="F27" s="61"/>
      <c r="G27" s="61"/>
      <c r="H27" s="61"/>
      <c r="I27" s="61"/>
    </row>
    <row r="28" spans="1:9" x14ac:dyDescent="0.3">
      <c r="A28" s="108" t="s">
        <v>33</v>
      </c>
      <c r="B28" s="109" t="s">
        <v>141</v>
      </c>
      <c r="C28" s="109"/>
      <c r="D28" s="110" t="s">
        <v>172</v>
      </c>
      <c r="E28" s="61"/>
    </row>
    <row r="29" spans="1:9" x14ac:dyDescent="0.3">
      <c r="A29" s="104"/>
      <c r="B29" s="104"/>
      <c r="C29" s="104"/>
      <c r="D29" s="104"/>
      <c r="E29" s="61"/>
    </row>
    <row r="30" spans="1:9" x14ac:dyDescent="0.3">
      <c r="E30" s="61"/>
    </row>
    <row r="31" spans="1:9" x14ac:dyDescent="0.3">
      <c r="A31" s="97" t="s">
        <v>270</v>
      </c>
      <c r="B31" s="61"/>
      <c r="C31" s="61"/>
      <c r="D31" s="61"/>
      <c r="E31" s="61"/>
      <c r="F31" s="97" t="s">
        <v>276</v>
      </c>
      <c r="G31" s="61"/>
      <c r="H31" s="61"/>
      <c r="I31" s="61"/>
    </row>
    <row r="32" spans="1:9" x14ac:dyDescent="0.3">
      <c r="A32" s="62" t="s">
        <v>120</v>
      </c>
      <c r="B32" s="63" t="s">
        <v>121</v>
      </c>
      <c r="C32" s="63" t="s">
        <v>122</v>
      </c>
      <c r="D32" s="64" t="s">
        <v>123</v>
      </c>
      <c r="E32" s="61"/>
      <c r="F32" s="71" t="s">
        <v>120</v>
      </c>
      <c r="G32" s="72" t="s">
        <v>121</v>
      </c>
      <c r="H32" s="72" t="s">
        <v>122</v>
      </c>
      <c r="I32" s="73" t="s">
        <v>123</v>
      </c>
    </row>
    <row r="33" spans="1:9" x14ac:dyDescent="0.3">
      <c r="A33" s="80" t="s">
        <v>231</v>
      </c>
      <c r="B33" s="81" t="s">
        <v>79</v>
      </c>
      <c r="C33" s="81" t="s">
        <v>125</v>
      </c>
      <c r="D33" s="82" t="s">
        <v>126</v>
      </c>
      <c r="E33" s="61"/>
      <c r="F33" s="74" t="s">
        <v>208</v>
      </c>
      <c r="G33" s="75" t="s">
        <v>129</v>
      </c>
      <c r="H33" s="75" t="s">
        <v>125</v>
      </c>
      <c r="I33" s="76" t="s">
        <v>209</v>
      </c>
    </row>
    <row r="34" spans="1:9" x14ac:dyDescent="0.3">
      <c r="A34" s="80" t="s">
        <v>234</v>
      </c>
      <c r="B34" s="81" t="s">
        <v>129</v>
      </c>
      <c r="C34" s="81" t="s">
        <v>235</v>
      </c>
      <c r="D34" s="82" t="s">
        <v>126</v>
      </c>
      <c r="E34" s="61"/>
      <c r="F34" s="77" t="s">
        <v>210</v>
      </c>
      <c r="G34" s="78" t="s">
        <v>137</v>
      </c>
      <c r="H34" s="78" t="s">
        <v>153</v>
      </c>
      <c r="I34" s="79" t="s">
        <v>211</v>
      </c>
    </row>
    <row r="35" spans="1:9" x14ac:dyDescent="0.3">
      <c r="A35" s="80" t="s">
        <v>238</v>
      </c>
      <c r="B35" s="81" t="s">
        <v>79</v>
      </c>
      <c r="C35" s="81" t="s">
        <v>125</v>
      </c>
      <c r="D35" s="82" t="s">
        <v>126</v>
      </c>
      <c r="E35" s="61"/>
      <c r="F35" s="74" t="s">
        <v>85</v>
      </c>
      <c r="G35" s="75" t="s">
        <v>79</v>
      </c>
      <c r="H35" s="75" t="s">
        <v>153</v>
      </c>
      <c r="I35" s="76" t="s">
        <v>140</v>
      </c>
    </row>
    <row r="36" spans="1:9" x14ac:dyDescent="0.3">
      <c r="A36" s="80" t="s">
        <v>2</v>
      </c>
      <c r="B36" s="81" t="s">
        <v>241</v>
      </c>
      <c r="C36" s="81" t="s">
        <v>125</v>
      </c>
      <c r="D36" s="82" t="s">
        <v>126</v>
      </c>
      <c r="E36" s="61"/>
      <c r="F36" s="77" t="s">
        <v>38</v>
      </c>
      <c r="G36" s="78" t="s">
        <v>141</v>
      </c>
      <c r="H36" s="78" t="s">
        <v>153</v>
      </c>
      <c r="I36" s="79" t="s">
        <v>143</v>
      </c>
    </row>
    <row r="37" spans="1:9" x14ac:dyDescent="0.3">
      <c r="E37" s="61"/>
      <c r="F37" s="74" t="s">
        <v>88</v>
      </c>
      <c r="G37" s="75" t="s">
        <v>79</v>
      </c>
      <c r="H37" s="75" t="s">
        <v>153</v>
      </c>
      <c r="I37" s="76" t="s">
        <v>88</v>
      </c>
    </row>
    <row r="38" spans="1:9" x14ac:dyDescent="0.3">
      <c r="E38" s="61"/>
      <c r="F38" s="77" t="s">
        <v>218</v>
      </c>
      <c r="G38" s="78"/>
      <c r="H38" s="78"/>
      <c r="I38" s="79"/>
    </row>
    <row r="39" spans="1:9" x14ac:dyDescent="0.3">
      <c r="A39" s="111" t="s">
        <v>269</v>
      </c>
      <c r="B39" s="61"/>
      <c r="C39" s="61"/>
      <c r="D39" s="61"/>
      <c r="E39" s="61"/>
    </row>
    <row r="40" spans="1:9" x14ac:dyDescent="0.3">
      <c r="A40" s="62" t="s">
        <v>120</v>
      </c>
      <c r="B40" s="63" t="s">
        <v>121</v>
      </c>
      <c r="C40" s="63" t="s">
        <v>122</v>
      </c>
      <c r="D40" s="64" t="s">
        <v>123</v>
      </c>
      <c r="E40" s="61"/>
    </row>
    <row r="41" spans="1:9" x14ac:dyDescent="0.3">
      <c r="A41" s="80" t="s">
        <v>124</v>
      </c>
      <c r="B41" s="81" t="s">
        <v>79</v>
      </c>
      <c r="C41" s="81" t="s">
        <v>125</v>
      </c>
      <c r="D41" s="82" t="s">
        <v>126</v>
      </c>
      <c r="E41" s="61"/>
    </row>
    <row r="42" spans="1:9" x14ac:dyDescent="0.3">
      <c r="A42" t="s">
        <v>33</v>
      </c>
      <c r="B42" t="s">
        <v>141</v>
      </c>
      <c r="D42" s="82" t="s">
        <v>126</v>
      </c>
      <c r="E42" s="61"/>
    </row>
    <row r="43" spans="1:9" x14ac:dyDescent="0.3">
      <c r="E43" s="61"/>
    </row>
    <row r="44" spans="1:9" x14ac:dyDescent="0.3">
      <c r="E44" s="61"/>
    </row>
    <row r="45" spans="1:9" x14ac:dyDescent="0.3">
      <c r="E45" s="61"/>
    </row>
    <row r="46" spans="1:9" x14ac:dyDescent="0.3">
      <c r="A46" s="111" t="s">
        <v>271</v>
      </c>
      <c r="B46" s="61"/>
      <c r="C46" s="61"/>
      <c r="D46" s="61"/>
      <c r="E46" s="61"/>
    </row>
    <row r="47" spans="1:9" x14ac:dyDescent="0.3">
      <c r="A47" s="83" t="s">
        <v>120</v>
      </c>
      <c r="B47" s="84" t="s">
        <v>121</v>
      </c>
      <c r="C47" s="84" t="s">
        <v>122</v>
      </c>
      <c r="D47" s="85" t="s">
        <v>123</v>
      </c>
      <c r="E47" s="61"/>
    </row>
    <row r="48" spans="1:9" x14ac:dyDescent="0.3">
      <c r="A48" s="86" t="s">
        <v>158</v>
      </c>
      <c r="B48" s="87" t="s">
        <v>159</v>
      </c>
      <c r="C48" s="87" t="s">
        <v>125</v>
      </c>
      <c r="D48" s="88" t="s">
        <v>88</v>
      </c>
      <c r="E48" s="61"/>
    </row>
    <row r="49" spans="1:5" x14ac:dyDescent="0.3">
      <c r="A49" s="89" t="s">
        <v>160</v>
      </c>
      <c r="B49" s="90" t="s">
        <v>159</v>
      </c>
      <c r="C49" s="90" t="s">
        <v>161</v>
      </c>
      <c r="D49" s="91" t="s">
        <v>162</v>
      </c>
      <c r="E49" s="61"/>
    </row>
    <row r="50" spans="1:5" x14ac:dyDescent="0.3">
      <c r="A50" s="86" t="s">
        <v>163</v>
      </c>
      <c r="B50" s="87" t="s">
        <v>164</v>
      </c>
      <c r="C50" s="87"/>
      <c r="D50" s="88" t="s">
        <v>165</v>
      </c>
      <c r="E50" s="61"/>
    </row>
    <row r="51" spans="1:5" x14ac:dyDescent="0.3">
      <c r="A51" s="89" t="s">
        <v>167</v>
      </c>
      <c r="B51" s="90" t="s">
        <v>168</v>
      </c>
      <c r="C51" s="90"/>
      <c r="D51" s="91"/>
      <c r="E51" s="61"/>
    </row>
    <row r="52" spans="1:5" x14ac:dyDescent="0.3">
      <c r="A52" s="86" t="s">
        <v>171</v>
      </c>
      <c r="B52" s="87" t="s">
        <v>168</v>
      </c>
      <c r="C52" s="87"/>
      <c r="D52" s="88"/>
      <c r="E52" s="61"/>
    </row>
    <row r="53" spans="1:5" x14ac:dyDescent="0.3">
      <c r="A53" s="89" t="s">
        <v>173</v>
      </c>
      <c r="B53" s="90" t="s">
        <v>168</v>
      </c>
      <c r="C53" s="90"/>
      <c r="D53" s="91" t="s">
        <v>174</v>
      </c>
      <c r="E53" s="61"/>
    </row>
    <row r="54" spans="1:5" x14ac:dyDescent="0.3">
      <c r="A54" s="86" t="s">
        <v>175</v>
      </c>
      <c r="B54" s="87" t="s">
        <v>137</v>
      </c>
      <c r="C54" s="87"/>
      <c r="D54" s="88" t="s">
        <v>176</v>
      </c>
      <c r="E54" s="61"/>
    </row>
    <row r="55" spans="1:5" x14ac:dyDescent="0.3">
      <c r="A55" s="61"/>
      <c r="B55" s="61"/>
      <c r="C55" s="61"/>
      <c r="D55" s="61"/>
      <c r="E55" s="61"/>
    </row>
    <row r="56" spans="1:5" x14ac:dyDescent="0.3">
      <c r="A56" s="61"/>
      <c r="B56" s="61"/>
      <c r="C56" s="61"/>
      <c r="D56" s="61"/>
      <c r="E56" s="61"/>
    </row>
    <row r="57" spans="1:5" x14ac:dyDescent="0.3">
      <c r="A57" s="97" t="s">
        <v>272</v>
      </c>
      <c r="B57" s="61"/>
      <c r="C57" s="61"/>
      <c r="D57" s="61"/>
      <c r="E57" s="61"/>
    </row>
    <row r="58" spans="1:5" x14ac:dyDescent="0.3">
      <c r="A58" s="83" t="s">
        <v>120</v>
      </c>
      <c r="B58" s="84" t="s">
        <v>121</v>
      </c>
      <c r="C58" s="84" t="s">
        <v>122</v>
      </c>
      <c r="D58" s="85" t="s">
        <v>123</v>
      </c>
      <c r="E58" s="61"/>
    </row>
    <row r="59" spans="1:5" x14ac:dyDescent="0.3">
      <c r="A59" s="86" t="s">
        <v>179</v>
      </c>
      <c r="B59" s="87" t="s">
        <v>168</v>
      </c>
      <c r="C59" s="87" t="s">
        <v>125</v>
      </c>
      <c r="D59" s="88"/>
      <c r="E59" s="61"/>
    </row>
    <row r="60" spans="1:5" x14ac:dyDescent="0.3">
      <c r="A60" s="89" t="s">
        <v>181</v>
      </c>
      <c r="B60" s="90" t="s">
        <v>129</v>
      </c>
      <c r="C60" s="90"/>
      <c r="D60" s="91" t="s">
        <v>182</v>
      </c>
      <c r="E60" s="61"/>
    </row>
    <row r="61" spans="1:5" x14ac:dyDescent="0.3">
      <c r="A61" s="86" t="s">
        <v>185</v>
      </c>
      <c r="B61" s="87" t="s">
        <v>137</v>
      </c>
      <c r="C61" s="87"/>
      <c r="D61" s="88" t="s">
        <v>186</v>
      </c>
    </row>
    <row r="62" spans="1:5" x14ac:dyDescent="0.3">
      <c r="A62" s="89" t="s">
        <v>188</v>
      </c>
      <c r="B62" s="90" t="s">
        <v>137</v>
      </c>
      <c r="C62" s="90"/>
      <c r="D62" s="91" t="s">
        <v>189</v>
      </c>
    </row>
    <row r="63" spans="1:5" x14ac:dyDescent="0.3">
      <c r="A63" s="86" t="s">
        <v>192</v>
      </c>
      <c r="B63" s="87" t="s">
        <v>159</v>
      </c>
      <c r="C63" s="87" t="s">
        <v>193</v>
      </c>
      <c r="D63" s="88" t="s">
        <v>88</v>
      </c>
    </row>
    <row r="64" spans="1:5" x14ac:dyDescent="0.3">
      <c r="A64" s="89" t="s">
        <v>196</v>
      </c>
      <c r="B64" s="90" t="s">
        <v>164</v>
      </c>
      <c r="C64" s="90"/>
      <c r="D64" s="91" t="s">
        <v>197</v>
      </c>
    </row>
    <row r="65" spans="1:4" x14ac:dyDescent="0.3">
      <c r="A65" s="86" t="s">
        <v>200</v>
      </c>
      <c r="B65" s="87"/>
      <c r="C65" s="87" t="s">
        <v>161</v>
      </c>
      <c r="D65" s="88" t="s">
        <v>201</v>
      </c>
    </row>
    <row r="66" spans="1:4" x14ac:dyDescent="0.3">
      <c r="A66" s="89" t="s">
        <v>204</v>
      </c>
      <c r="B66" s="90" t="s">
        <v>164</v>
      </c>
      <c r="C66" s="90"/>
      <c r="D66" s="91" t="s">
        <v>205</v>
      </c>
    </row>
    <row r="67" spans="1:4" x14ac:dyDescent="0.3">
      <c r="A67" s="86" t="s">
        <v>206</v>
      </c>
      <c r="B67" s="87" t="s">
        <v>164</v>
      </c>
      <c r="C67" s="87"/>
      <c r="D67" s="88" t="s">
        <v>207</v>
      </c>
    </row>
    <row r="68" spans="1:4" x14ac:dyDescent="0.3">
      <c r="A68" s="61"/>
      <c r="B68" s="61"/>
      <c r="C68" s="61"/>
      <c r="D68" s="61"/>
    </row>
    <row r="69" spans="1:4" x14ac:dyDescent="0.3">
      <c r="A69" s="61"/>
      <c r="B69" s="61"/>
      <c r="C69" s="61"/>
      <c r="D69" s="61"/>
    </row>
    <row r="70" spans="1:4" x14ac:dyDescent="0.3">
      <c r="A70" s="61"/>
      <c r="B70" s="61"/>
      <c r="C70" s="61"/>
      <c r="D70" s="61"/>
    </row>
    <row r="71" spans="1:4" x14ac:dyDescent="0.3">
      <c r="A71" s="97" t="s">
        <v>212</v>
      </c>
      <c r="B71" s="61"/>
      <c r="C71" s="61"/>
      <c r="D71" s="61"/>
    </row>
    <row r="72" spans="1:4" x14ac:dyDescent="0.3">
      <c r="A72" s="83" t="s">
        <v>120</v>
      </c>
      <c r="B72" s="84" t="s">
        <v>121</v>
      </c>
      <c r="C72" s="84" t="s">
        <v>122</v>
      </c>
      <c r="D72" s="85" t="s">
        <v>123</v>
      </c>
    </row>
    <row r="73" spans="1:4" x14ac:dyDescent="0.3">
      <c r="A73" s="86" t="s">
        <v>213</v>
      </c>
      <c r="B73" s="87" t="s">
        <v>214</v>
      </c>
      <c r="C73" s="87" t="s">
        <v>125</v>
      </c>
      <c r="D73" s="88" t="s">
        <v>215</v>
      </c>
    </row>
    <row r="74" spans="1:4" x14ac:dyDescent="0.3">
      <c r="A74" s="89" t="s">
        <v>216</v>
      </c>
      <c r="B74" s="90" t="s">
        <v>137</v>
      </c>
      <c r="C74" s="90" t="s">
        <v>125</v>
      </c>
      <c r="D74" s="91" t="s">
        <v>217</v>
      </c>
    </row>
    <row r="75" spans="1:4" x14ac:dyDescent="0.3">
      <c r="A75" s="86" t="s">
        <v>219</v>
      </c>
      <c r="B75" s="87" t="s">
        <v>137</v>
      </c>
      <c r="C75" s="87"/>
      <c r="D75" s="88" t="s">
        <v>220</v>
      </c>
    </row>
    <row r="76" spans="1:4" x14ac:dyDescent="0.3">
      <c r="A76" s="89" t="s">
        <v>221</v>
      </c>
      <c r="B76" s="90" t="s">
        <v>129</v>
      </c>
      <c r="C76" s="90"/>
      <c r="D76" s="91" t="s">
        <v>222</v>
      </c>
    </row>
    <row r="77" spans="1:4" x14ac:dyDescent="0.3">
      <c r="A77" s="86" t="s">
        <v>223</v>
      </c>
      <c r="B77" s="87" t="s">
        <v>224</v>
      </c>
      <c r="C77" s="87"/>
      <c r="D77" s="88" t="s">
        <v>225</v>
      </c>
    </row>
    <row r="81" spans="1:4" x14ac:dyDescent="0.3">
      <c r="A81" s="97" t="s">
        <v>273</v>
      </c>
      <c r="B81" s="61"/>
      <c r="C81" s="61"/>
      <c r="D81" s="61"/>
    </row>
    <row r="82" spans="1:4" x14ac:dyDescent="0.3">
      <c r="A82" s="83" t="s">
        <v>120</v>
      </c>
      <c r="B82" s="84" t="s">
        <v>121</v>
      </c>
      <c r="C82" s="84" t="s">
        <v>122</v>
      </c>
      <c r="D82" s="85" t="s">
        <v>123</v>
      </c>
    </row>
    <row r="83" spans="1:4" x14ac:dyDescent="0.3">
      <c r="A83" s="86" t="s">
        <v>226</v>
      </c>
      <c r="B83" s="87" t="s">
        <v>168</v>
      </c>
      <c r="C83" s="87" t="s">
        <v>125</v>
      </c>
      <c r="D83" s="88" t="s">
        <v>227</v>
      </c>
    </row>
    <row r="84" spans="1:4" x14ac:dyDescent="0.3">
      <c r="A84" s="89" t="s">
        <v>228</v>
      </c>
      <c r="B84" s="90" t="s">
        <v>229</v>
      </c>
      <c r="C84" s="90"/>
      <c r="D84" s="91" t="s">
        <v>36</v>
      </c>
    </row>
    <row r="85" spans="1:4" x14ac:dyDescent="0.3">
      <c r="A85" s="86" t="s">
        <v>230</v>
      </c>
      <c r="B85" s="87" t="s">
        <v>229</v>
      </c>
      <c r="C85" s="87"/>
      <c r="D85" s="88" t="s">
        <v>150</v>
      </c>
    </row>
    <row r="86" spans="1:4" ht="43.2" x14ac:dyDescent="0.3">
      <c r="A86" s="93" t="s">
        <v>232</v>
      </c>
      <c r="B86" s="94" t="s">
        <v>229</v>
      </c>
      <c r="C86" s="90"/>
      <c r="D86" s="92" t="s">
        <v>233</v>
      </c>
    </row>
    <row r="87" spans="1:4" x14ac:dyDescent="0.3">
      <c r="A87" s="86" t="s">
        <v>236</v>
      </c>
      <c r="B87" s="87" t="s">
        <v>229</v>
      </c>
      <c r="C87" s="87"/>
      <c r="D87" s="88" t="s">
        <v>237</v>
      </c>
    </row>
    <row r="88" spans="1:4" x14ac:dyDescent="0.3">
      <c r="A88" s="89" t="s">
        <v>239</v>
      </c>
      <c r="B88" s="90" t="s">
        <v>240</v>
      </c>
      <c r="C88" s="90"/>
      <c r="D88" s="91"/>
    </row>
    <row r="89" spans="1:4" x14ac:dyDescent="0.3">
      <c r="A89" s="86" t="s">
        <v>242</v>
      </c>
      <c r="B89" s="87" t="s">
        <v>137</v>
      </c>
      <c r="C89" s="87"/>
      <c r="D89" s="88" t="s">
        <v>243</v>
      </c>
    </row>
    <row r="90" spans="1:4" x14ac:dyDescent="0.3">
      <c r="A90" s="89" t="s">
        <v>244</v>
      </c>
      <c r="B90" s="90" t="s">
        <v>159</v>
      </c>
      <c r="C90" s="90"/>
      <c r="D90" s="91" t="s">
        <v>245</v>
      </c>
    </row>
    <row r="91" spans="1:4" x14ac:dyDescent="0.3">
      <c r="A91" s="86" t="s">
        <v>246</v>
      </c>
      <c r="B91" s="87" t="s">
        <v>164</v>
      </c>
      <c r="C91" s="87"/>
      <c r="D91" s="88" t="s">
        <v>247</v>
      </c>
    </row>
    <row r="92" spans="1:4" x14ac:dyDescent="0.3">
      <c r="A92" s="89" t="s">
        <v>248</v>
      </c>
      <c r="B92" s="90" t="s">
        <v>168</v>
      </c>
      <c r="C92" s="90"/>
      <c r="D92" s="91"/>
    </row>
    <row r="93" spans="1:4" x14ac:dyDescent="0.3">
      <c r="A93" s="112" t="s">
        <v>277</v>
      </c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7D6F2-FF42-494C-AA9A-1F49F275748E}">
  <sheetPr>
    <tabColor rgb="FFFFFF00"/>
  </sheetPr>
  <dimension ref="A3:B10"/>
  <sheetViews>
    <sheetView topLeftCell="B1" workbookViewId="0">
      <selection activeCell="J17" sqref="J17"/>
    </sheetView>
  </sheetViews>
  <sheetFormatPr baseColWidth="10" defaultColWidth="11.44140625" defaultRowHeight="14.4" x14ac:dyDescent="0.3"/>
  <cols>
    <col min="1" max="1" width="23.6640625" bestFit="1" customWidth="1"/>
    <col min="2" max="2" width="22.33203125" bestFit="1" customWidth="1"/>
    <col min="3" max="3" width="23.6640625" bestFit="1" customWidth="1"/>
  </cols>
  <sheetData>
    <row r="3" spans="1:2" x14ac:dyDescent="0.3">
      <c r="A3" s="16" t="s">
        <v>249</v>
      </c>
      <c r="B3" s="16" t="s">
        <v>250</v>
      </c>
    </row>
    <row r="4" spans="1:2" x14ac:dyDescent="0.3">
      <c r="A4" s="16" t="s">
        <v>251</v>
      </c>
      <c r="B4" t="s">
        <v>81</v>
      </c>
    </row>
    <row r="5" spans="1:2" x14ac:dyDescent="0.3">
      <c r="A5" s="17" t="s">
        <v>10</v>
      </c>
      <c r="B5" s="21">
        <v>0.18939393939393939</v>
      </c>
    </row>
    <row r="6" spans="1:2" x14ac:dyDescent="0.3">
      <c r="A6" s="17" t="s">
        <v>19</v>
      </c>
      <c r="B6" s="21">
        <v>0.21212121212121213</v>
      </c>
    </row>
    <row r="7" spans="1:2" x14ac:dyDescent="0.3">
      <c r="A7" s="17" t="s">
        <v>34</v>
      </c>
      <c r="B7" s="21">
        <v>0.21212121212121213</v>
      </c>
    </row>
    <row r="8" spans="1:2" x14ac:dyDescent="0.3">
      <c r="A8" s="17" t="s">
        <v>14</v>
      </c>
      <c r="B8" s="21">
        <v>0.20454545454545456</v>
      </c>
    </row>
    <row r="9" spans="1:2" x14ac:dyDescent="0.3">
      <c r="A9" s="17" t="s">
        <v>8</v>
      </c>
      <c r="B9" s="21">
        <v>0.18181818181818182</v>
      </c>
    </row>
    <row r="10" spans="1:2" x14ac:dyDescent="0.3">
      <c r="A10" s="17" t="s">
        <v>252</v>
      </c>
      <c r="B10" s="21">
        <v>1</v>
      </c>
    </row>
  </sheetData>
  <pageMargins left="0.7" right="0.7" top="0.78740157499999996" bottom="0.78740157499999996" header="0.3" footer="0.3"/>
  <pageSetup paperSize="9" orientation="portrait" r:id="rId2"/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66731-F4ED-4728-88E0-EB98A67982BA}">
  <sheetPr>
    <tabColor rgb="FFFFFF00"/>
  </sheetPr>
  <dimension ref="A1:C16"/>
  <sheetViews>
    <sheetView workbookViewId="0">
      <selection activeCell="A20" sqref="A20"/>
    </sheetView>
  </sheetViews>
  <sheetFormatPr baseColWidth="10" defaultColWidth="11.44140625" defaultRowHeight="14.4" x14ac:dyDescent="0.3"/>
  <cols>
    <col min="1" max="1" width="37.88671875" bestFit="1" customWidth="1"/>
    <col min="2" max="2" width="22.33203125" bestFit="1" customWidth="1"/>
    <col min="3" max="3" width="8" bestFit="1" customWidth="1"/>
    <col min="4" max="4" width="14.44140625" bestFit="1" customWidth="1"/>
  </cols>
  <sheetData>
    <row r="1" spans="1:3" x14ac:dyDescent="0.3">
      <c r="A1" s="16" t="s">
        <v>253</v>
      </c>
      <c r="B1" t="s">
        <v>254</v>
      </c>
    </row>
    <row r="3" spans="1:3" x14ac:dyDescent="0.3">
      <c r="A3" s="16" t="s">
        <v>255</v>
      </c>
      <c r="B3" s="16" t="s">
        <v>250</v>
      </c>
    </row>
    <row r="4" spans="1:3" x14ac:dyDescent="0.3">
      <c r="A4" s="16" t="s">
        <v>251</v>
      </c>
      <c r="B4" t="s">
        <v>81</v>
      </c>
      <c r="C4" t="s">
        <v>83</v>
      </c>
    </row>
    <row r="5" spans="1:3" x14ac:dyDescent="0.3">
      <c r="A5" s="17" t="s">
        <v>56</v>
      </c>
      <c r="B5" s="37">
        <v>9</v>
      </c>
      <c r="C5" s="37">
        <v>17</v>
      </c>
    </row>
    <row r="6" spans="1:3" x14ac:dyDescent="0.3">
      <c r="A6" s="17" t="s">
        <v>43</v>
      </c>
      <c r="B6" s="37">
        <v>12</v>
      </c>
      <c r="C6" s="37">
        <v>11</v>
      </c>
    </row>
    <row r="7" spans="1:3" x14ac:dyDescent="0.3">
      <c r="A7" s="17" t="s">
        <v>50</v>
      </c>
      <c r="B7" s="37">
        <v>15</v>
      </c>
      <c r="C7" s="37">
        <v>4</v>
      </c>
    </row>
    <row r="8" spans="1:3" x14ac:dyDescent="0.3">
      <c r="A8" s="17" t="s">
        <v>66</v>
      </c>
      <c r="B8" s="37">
        <v>14</v>
      </c>
      <c r="C8" s="37">
        <v>7</v>
      </c>
    </row>
    <row r="9" spans="1:3" x14ac:dyDescent="0.3">
      <c r="A9" s="17" t="s">
        <v>60</v>
      </c>
      <c r="B9" s="37">
        <v>15</v>
      </c>
      <c r="C9" s="37">
        <v>6</v>
      </c>
    </row>
    <row r="10" spans="1:3" x14ac:dyDescent="0.3">
      <c r="A10" s="17" t="s">
        <v>69</v>
      </c>
      <c r="B10" s="37">
        <v>10</v>
      </c>
      <c r="C10" s="37">
        <v>3</v>
      </c>
    </row>
    <row r="11" spans="1:3" x14ac:dyDescent="0.3">
      <c r="A11" s="17" t="s">
        <v>53</v>
      </c>
      <c r="B11" s="37">
        <v>11</v>
      </c>
      <c r="C11" s="37">
        <v>5</v>
      </c>
    </row>
    <row r="12" spans="1:3" x14ac:dyDescent="0.3">
      <c r="A12" s="17" t="s">
        <v>63</v>
      </c>
      <c r="B12" s="37">
        <v>10</v>
      </c>
      <c r="C12" s="37">
        <v>14</v>
      </c>
    </row>
    <row r="13" spans="1:3" x14ac:dyDescent="0.3">
      <c r="A13" s="17" t="s">
        <v>72</v>
      </c>
      <c r="B13" s="37">
        <v>16</v>
      </c>
      <c r="C13" s="37">
        <v>6</v>
      </c>
    </row>
    <row r="14" spans="1:3" x14ac:dyDescent="0.3">
      <c r="A14" s="17" t="s">
        <v>46</v>
      </c>
      <c r="B14" s="37">
        <v>11</v>
      </c>
      <c r="C14" s="37">
        <v>10</v>
      </c>
    </row>
    <row r="15" spans="1:3" x14ac:dyDescent="0.3">
      <c r="A15" s="17" t="s">
        <v>39</v>
      </c>
      <c r="B15" s="37">
        <v>9</v>
      </c>
      <c r="C15" s="37">
        <v>19</v>
      </c>
    </row>
    <row r="16" spans="1:3" x14ac:dyDescent="0.3">
      <c r="A16" s="17" t="s">
        <v>252</v>
      </c>
      <c r="B16" s="37">
        <v>132</v>
      </c>
      <c r="C16" s="37">
        <v>102</v>
      </c>
    </row>
  </sheetData>
  <pageMargins left="0.7" right="0.7" top="0.78740157499999996" bottom="0.78740157499999996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FB2568-54A4-4306-A4A6-92F1458BCD98}">
  <sheetPr codeName="Tabelle13">
    <tabColor rgb="FFFFFF00"/>
  </sheetPr>
  <dimension ref="A1:B12"/>
  <sheetViews>
    <sheetView zoomScaleNormal="100" workbookViewId="0">
      <selection activeCell="B7" sqref="B7"/>
    </sheetView>
  </sheetViews>
  <sheetFormatPr baseColWidth="10" defaultColWidth="11.44140625" defaultRowHeight="14.4" x14ac:dyDescent="0.3"/>
  <cols>
    <col min="1" max="1" width="21" bestFit="1" customWidth="1"/>
    <col min="2" max="2" width="25.6640625" bestFit="1" customWidth="1"/>
    <col min="3" max="3" width="22.33203125" bestFit="1" customWidth="1"/>
    <col min="4" max="4" width="24" bestFit="1" customWidth="1"/>
    <col min="5" max="5" width="12.33203125" customWidth="1"/>
  </cols>
  <sheetData>
    <row r="1" spans="1:2" x14ac:dyDescent="0.3">
      <c r="A1" s="16" t="s">
        <v>256</v>
      </c>
      <c r="B1" t="s">
        <v>254</v>
      </c>
    </row>
    <row r="2" spans="1:2" x14ac:dyDescent="0.3">
      <c r="A2" s="16" t="s">
        <v>38</v>
      </c>
      <c r="B2" t="s">
        <v>254</v>
      </c>
    </row>
    <row r="4" spans="1:2" x14ac:dyDescent="0.3">
      <c r="A4" s="16" t="s">
        <v>251</v>
      </c>
      <c r="B4" t="s">
        <v>257</v>
      </c>
    </row>
    <row r="5" spans="1:2" x14ac:dyDescent="0.3">
      <c r="A5" s="17" t="s">
        <v>258</v>
      </c>
      <c r="B5" s="21">
        <v>3.0991735537190084E-2</v>
      </c>
    </row>
    <row r="6" spans="1:2" x14ac:dyDescent="0.3">
      <c r="A6" s="17" t="s">
        <v>259</v>
      </c>
      <c r="B6" s="21">
        <v>1.2987012987012988E-2</v>
      </c>
    </row>
    <row r="7" spans="1:2" x14ac:dyDescent="0.3">
      <c r="A7" s="17" t="s">
        <v>260</v>
      </c>
      <c r="B7" s="21">
        <v>5.731225296442688E-2</v>
      </c>
    </row>
    <row r="8" spans="1:2" x14ac:dyDescent="0.3">
      <c r="A8" s="17" t="s">
        <v>261</v>
      </c>
      <c r="B8" s="21">
        <v>1.6528925619834711E-2</v>
      </c>
    </row>
    <row r="9" spans="1:2" x14ac:dyDescent="0.3">
      <c r="A9" s="17" t="s">
        <v>262</v>
      </c>
      <c r="B9" s="21">
        <v>8.8636363636363638E-2</v>
      </c>
    </row>
    <row r="10" spans="1:2" x14ac:dyDescent="0.3">
      <c r="A10" s="17" t="s">
        <v>263</v>
      </c>
      <c r="B10" s="21">
        <v>0.11688311688311688</v>
      </c>
    </row>
    <row r="11" spans="1:2" x14ac:dyDescent="0.3">
      <c r="A11" s="17" t="s">
        <v>264</v>
      </c>
      <c r="B11" s="21">
        <v>0.17965367965367965</v>
      </c>
    </row>
    <row r="12" spans="1:2" x14ac:dyDescent="0.3">
      <c r="A12" s="17" t="s">
        <v>252</v>
      </c>
      <c r="B12" s="21">
        <v>7.0909090909090908E-2</v>
      </c>
    </row>
  </sheetData>
  <pageMargins left="0.7" right="0.7" top="0.78740157499999996" bottom="0.78740157499999996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2F97B5BFBE05E84399BCDC30D992C92E" ma:contentTypeVersion="3" ma:contentTypeDescription="Ein neues Dokument erstellen." ma:contentTypeScope="" ma:versionID="822e693498de82647bc7acb848d4439d">
  <xsd:schema xmlns:xsd="http://www.w3.org/2001/XMLSchema" xmlns:xs="http://www.w3.org/2001/XMLSchema" xmlns:p="http://schemas.microsoft.com/office/2006/metadata/properties" xmlns:ns2="5b9c2fe9-6faa-400f-a160-ea17b7cc2504" targetNamespace="http://schemas.microsoft.com/office/2006/metadata/properties" ma:root="true" ma:fieldsID="640fa74f98e4eca00f406327ce698542" ns2:_="">
    <xsd:import namespace="5b9c2fe9-6faa-400f-a160-ea17b7cc250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b9c2fe9-6faa-400f-a160-ea17b7cc250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D3A1E0E-1D14-4B7B-B7F8-4C17F926AE3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D0EEA0B-30CE-436D-80F7-16DA78B04E5A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6F0D741-592F-49EF-99E8-D1693518EB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b9c2fe9-6faa-400f-a160-ea17b7cc250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15</vt:i4>
      </vt:variant>
    </vt:vector>
  </HeadingPairs>
  <TitlesOfParts>
    <vt:vector size="15" baseType="lpstr">
      <vt:lpstr>NRW-Feiertage 22 und 23</vt:lpstr>
      <vt:lpstr>Dim_Monat</vt:lpstr>
      <vt:lpstr>DIM_Wochentag</vt:lpstr>
      <vt:lpstr>DIM_Mitarbeiter</vt:lpstr>
      <vt:lpstr>DIM_Abteilung</vt:lpstr>
      <vt:lpstr>DIM_Abwesenheitsgrund</vt:lpstr>
      <vt:lpstr>ROHDATEN</vt:lpstr>
      <vt:lpstr>Arbeistage_tab</vt:lpstr>
      <vt:lpstr>PSFT</vt:lpstr>
      <vt:lpstr>TFT</vt:lpstr>
      <vt:lpstr>ASFT</vt:lpstr>
      <vt:lpstr>Tabellen</vt:lpstr>
      <vt:lpstr>Krankenstand_Wochentag</vt:lpstr>
      <vt:lpstr>Mitarbieter_Abwesenheitstage</vt:lpstr>
      <vt:lpstr>Krankenstand in Monaten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Smail ob</dc:creator>
  <cp:keywords/>
  <dc:description/>
  <cp:lastModifiedBy>Ismail Ouabi (iouabi)</cp:lastModifiedBy>
  <cp:revision/>
  <dcterms:created xsi:type="dcterms:W3CDTF">2015-06-05T18:19:34Z</dcterms:created>
  <dcterms:modified xsi:type="dcterms:W3CDTF">2025-02-16T13:41:37Z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0x0101002F97B5BFBE05E84399BCDC30D992C92E</vt:lpwstr>
  </property>
</Properties>
</file>